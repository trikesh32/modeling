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bus\itmo\learning\modeling\lab1\"/>
    </mc:Choice>
  </mc:AlternateContent>
  <xr:revisionPtr revIDLastSave="0" documentId="13_ncr:1_{096D96FB-D655-45E8-B52D-B8C1641A578B}" xr6:coauthVersionLast="47" xr6:coauthVersionMax="47" xr10:uidLastSave="{00000000-0000-0000-0000-000000000000}"/>
  <bookViews>
    <workbookView xWindow="38400" yWindow="11100" windowWidth="28800" windowHeight="15345" xr2:uid="{0971C6B3-D8DC-4FFB-83BE-92116F398186}"/>
  </bookViews>
  <sheets>
    <sheet name="Лист1" sheetId="1" r:id="rId1"/>
  </sheets>
  <definedNames>
    <definedName name="_xlchart.v1.0" hidden="1">Лист1!$A$1:$A$300</definedName>
    <definedName name="_xlchart.v1.1" hidden="1">Лист1!$W$1:$W$300</definedName>
    <definedName name="_xlchart.v1.2" hidden="1">Лист1!$W$1:$W$300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 a="1"/>
  <c r="T1" i="1" s="1"/>
  <c r="W1" i="1" s="1"/>
  <c r="W159" i="1" l="1"/>
  <c r="W222" i="1"/>
  <c r="W189" i="1"/>
  <c r="W93" i="1"/>
  <c r="W252" i="1"/>
  <c r="W172" i="1"/>
  <c r="W108" i="1"/>
  <c r="W154" i="1"/>
  <c r="W289" i="1"/>
  <c r="W161" i="1"/>
  <c r="W49" i="1"/>
  <c r="W208" i="1"/>
  <c r="W48" i="1"/>
  <c r="W207" i="1"/>
  <c r="W95" i="1"/>
  <c r="W238" i="1"/>
  <c r="W142" i="1"/>
  <c r="W94" i="1"/>
  <c r="W269" i="1"/>
  <c r="W12" i="1"/>
  <c r="W257" i="1"/>
  <c r="W129" i="1"/>
  <c r="W256" i="1"/>
  <c r="W176" i="1"/>
  <c r="W287" i="1"/>
  <c r="W15" i="1"/>
  <c r="W107" i="1"/>
  <c r="W225" i="1"/>
  <c r="W113" i="1"/>
  <c r="W224" i="1"/>
  <c r="W96" i="1"/>
  <c r="W32" i="1"/>
  <c r="W223" i="1"/>
  <c r="W63" i="1"/>
  <c r="W206" i="1"/>
  <c r="W46" i="1"/>
  <c r="W237" i="1"/>
  <c r="W125" i="1"/>
  <c r="W13" i="1"/>
  <c r="W220" i="1"/>
  <c r="W44" i="1"/>
  <c r="W299" i="1"/>
  <c r="W219" i="1"/>
  <c r="W155" i="1"/>
  <c r="W59" i="1"/>
  <c r="W298" i="1"/>
  <c r="W250" i="1"/>
  <c r="W122" i="1"/>
  <c r="W26" i="1"/>
  <c r="W265" i="1"/>
  <c r="W153" i="1"/>
  <c r="W73" i="1"/>
  <c r="W9" i="1"/>
  <c r="W216" i="1"/>
  <c r="W136" i="1"/>
  <c r="W56" i="1"/>
  <c r="W231" i="1"/>
  <c r="W7" i="1"/>
  <c r="W209" i="1"/>
  <c r="W65" i="1"/>
  <c r="W240" i="1"/>
  <c r="W144" i="1"/>
  <c r="W80" i="1"/>
  <c r="W191" i="1"/>
  <c r="W111" i="1"/>
  <c r="W286" i="1"/>
  <c r="W190" i="1"/>
  <c r="W285" i="1"/>
  <c r="W141" i="1"/>
  <c r="W29" i="1"/>
  <c r="W188" i="1"/>
  <c r="W76" i="1"/>
  <c r="W267" i="1"/>
  <c r="W171" i="1"/>
  <c r="W43" i="1"/>
  <c r="W186" i="1"/>
  <c r="W58" i="1"/>
  <c r="W281" i="1"/>
  <c r="W185" i="1"/>
  <c r="W121" i="1"/>
  <c r="W280" i="1"/>
  <c r="W152" i="1"/>
  <c r="W24" i="1"/>
  <c r="W247" i="1"/>
  <c r="W151" i="1"/>
  <c r="W23" i="1"/>
  <c r="W230" i="1"/>
  <c r="W166" i="1"/>
  <c r="W86" i="1"/>
  <c r="W6" i="1"/>
  <c r="W273" i="1"/>
  <c r="W145" i="1"/>
  <c r="W17" i="1"/>
  <c r="W192" i="1"/>
  <c r="W64" i="1"/>
  <c r="W239" i="1"/>
  <c r="W143" i="1"/>
  <c r="W127" i="1"/>
  <c r="W270" i="1"/>
  <c r="W110" i="1"/>
  <c r="W30" i="1"/>
  <c r="W221" i="1"/>
  <c r="W109" i="1"/>
  <c r="W268" i="1"/>
  <c r="W140" i="1"/>
  <c r="W28" i="1"/>
  <c r="W187" i="1"/>
  <c r="W91" i="1"/>
  <c r="W282" i="1"/>
  <c r="W202" i="1"/>
  <c r="W106" i="1"/>
  <c r="W74" i="1"/>
  <c r="W233" i="1"/>
  <c r="W137" i="1"/>
  <c r="W57" i="1"/>
  <c r="W296" i="1"/>
  <c r="W200" i="1"/>
  <c r="W8" i="1"/>
  <c r="W215" i="1"/>
  <c r="W135" i="1"/>
  <c r="W71" i="1"/>
  <c r="W262" i="1"/>
  <c r="W150" i="1"/>
  <c r="W38" i="1"/>
  <c r="W293" i="1"/>
  <c r="W277" i="1"/>
  <c r="W261" i="1"/>
  <c r="W245" i="1"/>
  <c r="W229" i="1"/>
  <c r="W213" i="1"/>
  <c r="W197" i="1"/>
  <c r="W181" i="1"/>
  <c r="W165" i="1"/>
  <c r="W149" i="1"/>
  <c r="W133" i="1"/>
  <c r="W117" i="1"/>
  <c r="W101" i="1"/>
  <c r="W85" i="1"/>
  <c r="W69" i="1"/>
  <c r="W53" i="1"/>
  <c r="W37" i="1"/>
  <c r="W21" i="1"/>
  <c r="W5" i="1"/>
  <c r="W193" i="1"/>
  <c r="W81" i="1"/>
  <c r="W288" i="1"/>
  <c r="W128" i="1"/>
  <c r="W16" i="1"/>
  <c r="W175" i="1"/>
  <c r="W79" i="1"/>
  <c r="W254" i="1"/>
  <c r="W126" i="1"/>
  <c r="W62" i="1"/>
  <c r="W253" i="1"/>
  <c r="W157" i="1"/>
  <c r="W61" i="1"/>
  <c r="W284" i="1"/>
  <c r="W204" i="1"/>
  <c r="W92" i="1"/>
  <c r="W283" i="1"/>
  <c r="W203" i="1"/>
  <c r="W139" i="1"/>
  <c r="W27" i="1"/>
  <c r="W234" i="1"/>
  <c r="W138" i="1"/>
  <c r="W10" i="1"/>
  <c r="W249" i="1"/>
  <c r="W169" i="1"/>
  <c r="W89" i="1"/>
  <c r="W25" i="1"/>
  <c r="W232" i="1"/>
  <c r="W104" i="1"/>
  <c r="W40" i="1"/>
  <c r="W263" i="1"/>
  <c r="W199" i="1"/>
  <c r="W119" i="1"/>
  <c r="W87" i="1"/>
  <c r="W294" i="1"/>
  <c r="W214" i="1"/>
  <c r="W134" i="1"/>
  <c r="W22" i="1"/>
  <c r="W292" i="1"/>
  <c r="W276" i="1"/>
  <c r="W260" i="1"/>
  <c r="W244" i="1"/>
  <c r="W228" i="1"/>
  <c r="W212" i="1"/>
  <c r="W196" i="1"/>
  <c r="W180" i="1"/>
  <c r="W164" i="1"/>
  <c r="W148" i="1"/>
  <c r="W132" i="1"/>
  <c r="W116" i="1"/>
  <c r="W100" i="1"/>
  <c r="W84" i="1"/>
  <c r="W68" i="1"/>
  <c r="W52" i="1"/>
  <c r="W36" i="1"/>
  <c r="W20" i="1"/>
  <c r="W4" i="1"/>
  <c r="W177" i="1"/>
  <c r="W33" i="1"/>
  <c r="W160" i="1"/>
  <c r="W255" i="1"/>
  <c r="W31" i="1"/>
  <c r="W158" i="1"/>
  <c r="W78" i="1"/>
  <c r="W173" i="1"/>
  <c r="W45" i="1"/>
  <c r="W236" i="1"/>
  <c r="W124" i="1"/>
  <c r="W251" i="1"/>
  <c r="W75" i="1"/>
  <c r="W218" i="1"/>
  <c r="W42" i="1"/>
  <c r="W217" i="1"/>
  <c r="W105" i="1"/>
  <c r="W264" i="1"/>
  <c r="W184" i="1"/>
  <c r="W120" i="1"/>
  <c r="W72" i="1"/>
  <c r="W279" i="1"/>
  <c r="W183" i="1"/>
  <c r="W103" i="1"/>
  <c r="W39" i="1"/>
  <c r="W278" i="1"/>
  <c r="W182" i="1"/>
  <c r="W102" i="1"/>
  <c r="W70" i="1"/>
  <c r="W291" i="1"/>
  <c r="W275" i="1"/>
  <c r="W259" i="1"/>
  <c r="W243" i="1"/>
  <c r="W227" i="1"/>
  <c r="W211" i="1"/>
  <c r="W195" i="1"/>
  <c r="W179" i="1"/>
  <c r="W163" i="1"/>
  <c r="W147" i="1"/>
  <c r="W131" i="1"/>
  <c r="W115" i="1"/>
  <c r="W99" i="1"/>
  <c r="W83" i="1"/>
  <c r="W67" i="1"/>
  <c r="W51" i="1"/>
  <c r="W35" i="1"/>
  <c r="W19" i="1"/>
  <c r="W3" i="1"/>
  <c r="W241" i="1"/>
  <c r="W97" i="1"/>
  <c r="W272" i="1"/>
  <c r="W112" i="1"/>
  <c r="W271" i="1"/>
  <c r="W47" i="1"/>
  <c r="W174" i="1"/>
  <c r="W14" i="1"/>
  <c r="W205" i="1"/>
  <c r="W77" i="1"/>
  <c r="W300" i="1"/>
  <c r="W156" i="1"/>
  <c r="W60" i="1"/>
  <c r="W235" i="1"/>
  <c r="W123" i="1"/>
  <c r="W11" i="1"/>
  <c r="W266" i="1"/>
  <c r="W170" i="1"/>
  <c r="W90" i="1"/>
  <c r="W297" i="1"/>
  <c r="W201" i="1"/>
  <c r="W41" i="1"/>
  <c r="W248" i="1"/>
  <c r="W168" i="1"/>
  <c r="W88" i="1"/>
  <c r="W295" i="1"/>
  <c r="W167" i="1"/>
  <c r="W55" i="1"/>
  <c r="W246" i="1"/>
  <c r="W198" i="1"/>
  <c r="W118" i="1"/>
  <c r="W54" i="1"/>
  <c r="W290" i="1"/>
  <c r="W274" i="1"/>
  <c r="W258" i="1"/>
  <c r="W242" i="1"/>
  <c r="W226" i="1"/>
  <c r="W210" i="1"/>
  <c r="W194" i="1"/>
  <c r="W178" i="1"/>
  <c r="W162" i="1"/>
  <c r="W146" i="1"/>
  <c r="W130" i="1"/>
  <c r="W114" i="1"/>
  <c r="W98" i="1"/>
  <c r="W82" i="1"/>
  <c r="W66" i="1"/>
  <c r="W50" i="1"/>
  <c r="W34" i="1"/>
  <c r="W18" i="1"/>
  <c r="W2" i="1"/>
  <c r="L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<sst xmlns="http://schemas.openxmlformats.org/spreadsheetml/2006/main" count="1" uniqueCount="1">
  <si>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14,9332040712885, 20,6583522768106, 25,5277849876862, 0,175629389022171, 1,49204445077454, 129,40889382361, 5,91372050096206, 7,96822351273106, 32,7409912808843, 7,57572595912818, 51,293709171055, 37,0350677275417, 20,3995184411119, 4,4487799085705, 22,8408906930319, 2,04220304032569, 76,568130244532, 0,797172346046722, 172,117616043893, 5,03361305229491, 19,4107479615776, 5,76538668895995, 0,95457598313581, 7,69918006563826, 6,27504040547798, 1,76703512063134, 1,14925412977147, 10,5997117390222, 6,66258593986927, 5,44177113598711, 3,73569923042059, 2,63220547735614, 16,8225083355518, 6,65320408108718, 3,41412091116214, 13,1261249215762, 1,00170364815028, 0,806654008789814, 0,455005804934356, 5,28766720890992, 3,47458277462343, 39,8485840354328, 0,413575853455503, 38,5211191242049, 10,285583518691, 1,52952178007008, 3,15769097997699, 0,744325587303842, 1,88765407568617, 8,3684689806531, 14,5804465327491, 10,2790821296373, 11,5250211880887, 8,60986623779591, 8,81109302111525, 7,12325952696635, 0,21844121201472, 10,0978059757992, 23,7710730949844, 8,36904481477192, 62,6972699612012, 41,6417185086786, 0,838836854395935, 7,23342110010631, 3,22325889024295, 7,50990188405447, 6,30312524390835, 3,44043653088047, 7,89707729446611, 3,77769749591347, 181,271514860739, 101,737104565837, 9,12715859803385, 2,82212293093557, 5,0395280284913, 10,042040022124, 118,32372523696, 64,9245833078189, 2,86290876018097, 67,2107264758563, 0,592235402853479, 2,62647803387451, 133,664867930719, 3,57196210428646, 91,1785596454226, 5,68469535742416, 5,8183350318936, 1,49850089761989, 7,00039488111277, 0,0821922031832008, 92,881916629561, 4,64202462429262, 0,689883150958168, 23,6874342578312, 1,55557745567951, 1,80985429341772, 98,4658711949393, 2,02479911237348, 10,761764549593, 3,01017173448705, 0,676972516758464, 5,25397253891351, 93,6133686357146, 4,00729012704831, 4,29626129271955, 4,64165722789039, 18,3780705197463, 12,8060343623011, 2,03372407596261, 3,65753767822915, 6,70708472471904, 0,112411661198378, 9,44068179368569, 25,2145604563917, 4,26486337837995, 4,7053716076453, 33,080836470579, 2,69405656623818, 1,60641209359648, 1,48485831252481, 8,98191525660453, 5,76415893613283, 4,76120663379853, 0,0379213270298663, 11,4346540155067, 21,7308552931664, 10,1630946862661, 80,3155312361783, 1,71573279492088, 105,656348884209, 6,54668734653403, 1,03385656748839, 0,977610170076814, 6,15767218195587, 2,8534513798326, 22,5072934085879, 230,708154938968, 4,16238231159523, 4,52926668159987, 1,28227431941198, 3,83787484199723, 159,388980119145, 183,549379334976, 5,65704808657753, 1,95144588652792, 0,940381503344124, 15,6655806601767, 1,68791475361665, 10,1957771022092, 14,1911166155077, 5,15145276136986, 3,26381177683892, 26,1204643306759, 8,82239148508258, 12,7121280523517, 1,52307268656617, 0,271230061963269, 1,73984279295406, 0,222596474345442, 29,556777538636, 10,830964780393, 93,4471340412803, 12,0292971849989, 14,8653458418596, 2,98419719256532, 13,1286449213931, 94,1126433553764, 3,6721600334441, 3,58793284791652, 0,894002774844482, 3,67787724084743, 35,110307441996, 1,0970976259348, 5,78899843787522, 71,0802012533159, 32,5410569484911, 13,3903243592542, 6,55211715833434, 3,09019325072061, 7,48674156419577, 5,56543622389686, 8,94176520578806, 17,2903358595293, 9,29720260264065, 12,459321879441, 10,5871272680744, 3,86399390026672, 40,145567343414, 39,4596585504232, 37,1668184970259, 1,65846913159415, 16,060885917399, 27,3967454518468, 4,13112165918066, 1,98540395736135, 18,1404757712513, 14,8118522425692, 104,018784829856, 8,66436378675442, 2,20606816965674, 5,32197300348955, 11,1961075862707, 91,6069738223522, 6,81995493449721, 12,6301800390075, 0,667622771777184, 206,64471376786, 68,5734676409129, 15,7502934298681, 95,8148593306222, 6,40219472837659, 81,086439070624, 7,5732954245626, 10,4095087464504, 4,84280744751281, 7,90921224801025, 28,7636373839033, 2,36191376437567, 4,60145223805602, 111,863489103595, 13,3278869251948, 3,59404344471197, 8,66459419256139, 0,828708818460825, 2,47761309587019, 65,3738336160575, 74,1598561733754, 13,6511310182419, 0,476192895634141, 5,30745421590493, 58,1310537342713, 5,60564706947572, 1,46710925041192, 5,49252381034568, 1,24061634517575, 5,57799012255158, 5,87231899428062, 7,37976941139536, 11,1906365341263, 35,974501600235, 0,0430231403735263, 2,71525314220753, 5,11762016168366, 2,56349731235462, 3,89821967546, 4,12835635043411, 13,7808862859675, 34,8753746388094, 3,68706632727207, 12,9763017292492, 2,97625757838557, 7,17536847914923, 1,30540052792375, 13,2204095882252, 8,63094889897479, 112,210445537263, 86,7098673706943, 5,50786542211725, 18,3383790053946, 2,83403658388165, 3,69627537415676, 19,8159004819189, 26,5255503780853, 0,391529197172867, 8,46403378155235, 31,7530568820825, 6,06847654483811, 0,333100099318231, 3,77618818636125, 6,6832070716055, 1,93052038202401, 15,5899804615747, 0,115759265252282, 12,0699746476656, 5,77908009803472, 70,7064839094474, 1,70920892901388, 13,3829675304741, 8,25094981607311, 6,19397202895542, 10,3693727969224, 9,58410407482794, 2,93283792918482, 1,96167008068507, 31,81801839601, 18,9284725388275, 1,73123846714541, 3,44334619494197, 3,82370574937225, 3,26844100045586, 0,320671206654087, 25,6735444700342, 10,7082885479652, 11,733280860228, 40,2738360707089, 19,5707959545485, 4,32370836426217, 5,36889526465301, 7,26213207612256, 1,59924736993464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</si>
</sst>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числовой последовательности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Лист1!$A$1:$A$299</c:f>
              <c:numCache>
                <c:formatCode>0.000</c:formatCode>
                <c:ptCount val="299"/>
                <c:pt idx="0">
                  <c:v>61.793329121639609</c:v>
                </c:pt>
                <c:pt idx="1">
                  <c:v>7.6199634266240306</c:v>
                </c:pt>
                <c:pt idx="2">
                  <c:v>2.8840364980077888</c:v>
                </c:pt>
                <c:pt idx="3">
                  <c:v>10.792811920745557</c:v>
                </c:pt>
                <c:pt idx="4">
                  <c:v>4.9381610051653944</c:v>
                </c:pt>
                <c:pt idx="5">
                  <c:v>11.973175538569636</c:v>
                </c:pt>
                <c:pt idx="6">
                  <c:v>5.1598715815966827</c:v>
                </c:pt>
                <c:pt idx="7">
                  <c:v>5.7489595164778908</c:v>
                </c:pt>
                <c:pt idx="8">
                  <c:v>4.970428689079136</c:v>
                </c:pt>
                <c:pt idx="9">
                  <c:v>10.570134002660886</c:v>
                </c:pt>
                <c:pt idx="10">
                  <c:v>62.527735800155568</c:v>
                </c:pt>
                <c:pt idx="11">
                  <c:v>1.6158650343042382</c:v>
                </c:pt>
                <c:pt idx="12">
                  <c:v>28.821628399442819</c:v>
                </c:pt>
                <c:pt idx="13">
                  <c:v>5.9296266798627872</c:v>
                </c:pt>
                <c:pt idx="14">
                  <c:v>6.8546309672291637</c:v>
                </c:pt>
                <c:pt idx="15">
                  <c:v>6.8384475370813336</c:v>
                </c:pt>
                <c:pt idx="16">
                  <c:v>8.8714544986597126</c:v>
                </c:pt>
                <c:pt idx="17">
                  <c:v>9.1084710180224491</c:v>
                </c:pt>
                <c:pt idx="18">
                  <c:v>12.098529945491023</c:v>
                </c:pt>
                <c:pt idx="19">
                  <c:v>9.9714924811632848</c:v>
                </c:pt>
                <c:pt idx="20">
                  <c:v>11.082737591155176</c:v>
                </c:pt>
                <c:pt idx="21">
                  <c:v>132.46458162053068</c:v>
                </c:pt>
                <c:pt idx="22">
                  <c:v>9.3490258848570633</c:v>
                </c:pt>
                <c:pt idx="23">
                  <c:v>9.5790379522111717</c:v>
                </c:pt>
                <c:pt idx="24">
                  <c:v>9.861102948027975</c:v>
                </c:pt>
                <c:pt idx="25">
                  <c:v>11.754452781842977</c:v>
                </c:pt>
                <c:pt idx="26">
                  <c:v>57.349129920077317</c:v>
                </c:pt>
                <c:pt idx="27">
                  <c:v>3.1545624492721629</c:v>
                </c:pt>
                <c:pt idx="28">
                  <c:v>9.4963018215921835</c:v>
                </c:pt>
                <c:pt idx="29">
                  <c:v>3.8204897897603018</c:v>
                </c:pt>
                <c:pt idx="30">
                  <c:v>2.8861930141005878</c:v>
                </c:pt>
                <c:pt idx="31">
                  <c:v>35.972977504063152</c:v>
                </c:pt>
                <c:pt idx="32">
                  <c:v>109.0282687826879</c:v>
                </c:pt>
                <c:pt idx="33">
                  <c:v>8.5836500836051801</c:v>
                </c:pt>
                <c:pt idx="34">
                  <c:v>3.1454389618464065</c:v>
                </c:pt>
                <c:pt idx="35">
                  <c:v>4.4756985767431097</c:v>
                </c:pt>
                <c:pt idx="36">
                  <c:v>38.136124222051734</c:v>
                </c:pt>
                <c:pt idx="37">
                  <c:v>9.6158536908665226</c:v>
                </c:pt>
                <c:pt idx="38">
                  <c:v>31.883198937249823</c:v>
                </c:pt>
                <c:pt idx="39">
                  <c:v>47.886078888786628</c:v>
                </c:pt>
                <c:pt idx="40">
                  <c:v>30.900963164493803</c:v>
                </c:pt>
                <c:pt idx="41">
                  <c:v>2.2954528257096527</c:v>
                </c:pt>
                <c:pt idx="42">
                  <c:v>158.7656724075452</c:v>
                </c:pt>
                <c:pt idx="43">
                  <c:v>5.3552004184979032E-2</c:v>
                </c:pt>
                <c:pt idx="44">
                  <c:v>11.706209219706437</c:v>
                </c:pt>
                <c:pt idx="45">
                  <c:v>2.07322548653047</c:v>
                </c:pt>
                <c:pt idx="46">
                  <c:v>10.947159568373808</c:v>
                </c:pt>
                <c:pt idx="47">
                  <c:v>2.9408948712925902</c:v>
                </c:pt>
                <c:pt idx="48">
                  <c:v>64.116871917143726</c:v>
                </c:pt>
                <c:pt idx="49">
                  <c:v>1.2235584469705618</c:v>
                </c:pt>
                <c:pt idx="50">
                  <c:v>6.9488283659174161</c:v>
                </c:pt>
                <c:pt idx="51">
                  <c:v>8.0698640245107303</c:v>
                </c:pt>
                <c:pt idx="52">
                  <c:v>7.9547724868910006</c:v>
                </c:pt>
                <c:pt idx="53">
                  <c:v>14.973076434016548</c:v>
                </c:pt>
                <c:pt idx="54">
                  <c:v>3.6971036917116344</c:v>
                </c:pt>
                <c:pt idx="55">
                  <c:v>29.292182518843251</c:v>
                </c:pt>
                <c:pt idx="56">
                  <c:v>7.5899132174691655</c:v>
                </c:pt>
                <c:pt idx="57">
                  <c:v>63.730657022168259</c:v>
                </c:pt>
                <c:pt idx="58">
                  <c:v>49.855847248160302</c:v>
                </c:pt>
                <c:pt idx="59">
                  <c:v>4.1054550326262547</c:v>
                </c:pt>
                <c:pt idx="60">
                  <c:v>9.5830621695844425</c:v>
                </c:pt>
                <c:pt idx="61">
                  <c:v>7.4658910375896674</c:v>
                </c:pt>
                <c:pt idx="62">
                  <c:v>6.4301370583717521</c:v>
                </c:pt>
                <c:pt idx="63">
                  <c:v>13.77153327304381</c:v>
                </c:pt>
                <c:pt idx="64">
                  <c:v>8.4609394355784691</c:v>
                </c:pt>
                <c:pt idx="65">
                  <c:v>8.4119489207109979</c:v>
                </c:pt>
                <c:pt idx="66">
                  <c:v>4.8332983580954636</c:v>
                </c:pt>
                <c:pt idx="67">
                  <c:v>4.5695426713763023</c:v>
                </c:pt>
                <c:pt idx="68">
                  <c:v>3.411503624240356</c:v>
                </c:pt>
                <c:pt idx="69">
                  <c:v>0.68916522986802331</c:v>
                </c:pt>
                <c:pt idx="70">
                  <c:v>5.3642550863770673</c:v>
                </c:pt>
                <c:pt idx="71">
                  <c:v>196.13992689619764</c:v>
                </c:pt>
                <c:pt idx="72">
                  <c:v>0.38594630005476338</c:v>
                </c:pt>
                <c:pt idx="73">
                  <c:v>10.192802990438745</c:v>
                </c:pt>
                <c:pt idx="74">
                  <c:v>12.857513800568267</c:v>
                </c:pt>
                <c:pt idx="75">
                  <c:v>7.0951301216559903</c:v>
                </c:pt>
                <c:pt idx="76">
                  <c:v>20.001383374064861</c:v>
                </c:pt>
                <c:pt idx="77">
                  <c:v>2.4692892444058758</c:v>
                </c:pt>
                <c:pt idx="78">
                  <c:v>34.184805841843733</c:v>
                </c:pt>
                <c:pt idx="79">
                  <c:v>6.264041992317896</c:v>
                </c:pt>
                <c:pt idx="80">
                  <c:v>9.1386491699144621</c:v>
                </c:pt>
                <c:pt idx="81">
                  <c:v>8.2337262099452033</c:v>
                </c:pt>
                <c:pt idx="82">
                  <c:v>7.5221177144012152</c:v>
                </c:pt>
                <c:pt idx="83">
                  <c:v>1.116394752842387</c:v>
                </c:pt>
                <c:pt idx="84">
                  <c:v>9.8771766688623686</c:v>
                </c:pt>
                <c:pt idx="85">
                  <c:v>6.3162393988898335</c:v>
                </c:pt>
                <c:pt idx="86">
                  <c:v>2.9231322072546928</c:v>
                </c:pt>
                <c:pt idx="87">
                  <c:v>128.88058974357673</c:v>
                </c:pt>
                <c:pt idx="88">
                  <c:v>10.160672458993986</c:v>
                </c:pt>
                <c:pt idx="89">
                  <c:v>8.435472184178515</c:v>
                </c:pt>
                <c:pt idx="90">
                  <c:v>9.6099578345086272</c:v>
                </c:pt>
                <c:pt idx="91">
                  <c:v>5.7612338474237967</c:v>
                </c:pt>
                <c:pt idx="92">
                  <c:v>10.171748948536326</c:v>
                </c:pt>
                <c:pt idx="93">
                  <c:v>9.142282549561811</c:v>
                </c:pt>
                <c:pt idx="94">
                  <c:v>7.2987480573695249</c:v>
                </c:pt>
                <c:pt idx="95">
                  <c:v>190.45054573090113</c:v>
                </c:pt>
                <c:pt idx="96">
                  <c:v>10.475495268804075</c:v>
                </c:pt>
                <c:pt idx="97">
                  <c:v>99.062253467571892</c:v>
                </c:pt>
                <c:pt idx="98">
                  <c:v>8.4878397109304728</c:v>
                </c:pt>
                <c:pt idx="99">
                  <c:v>9.5243278068060508</c:v>
                </c:pt>
                <c:pt idx="100">
                  <c:v>2.9163694794091066</c:v>
                </c:pt>
                <c:pt idx="101">
                  <c:v>10.416986102794857</c:v>
                </c:pt>
                <c:pt idx="102">
                  <c:v>10.018286599842188</c:v>
                </c:pt>
                <c:pt idx="103">
                  <c:v>7.8762251646730608</c:v>
                </c:pt>
                <c:pt idx="104">
                  <c:v>110.8962710952852</c:v>
                </c:pt>
                <c:pt idx="105">
                  <c:v>99.772928412485214</c:v>
                </c:pt>
                <c:pt idx="106">
                  <c:v>5.4099437623657662</c:v>
                </c:pt>
                <c:pt idx="107">
                  <c:v>9.68637342469016</c:v>
                </c:pt>
                <c:pt idx="108">
                  <c:v>36.16741445967854</c:v>
                </c:pt>
                <c:pt idx="109">
                  <c:v>5.836852249903135</c:v>
                </c:pt>
                <c:pt idx="110">
                  <c:v>6.014424324657206</c:v>
                </c:pt>
                <c:pt idx="111">
                  <c:v>7.1740565336102691</c:v>
                </c:pt>
                <c:pt idx="112">
                  <c:v>6.2973668318264586</c:v>
                </c:pt>
                <c:pt idx="113">
                  <c:v>13.864292541631325</c:v>
                </c:pt>
                <c:pt idx="114">
                  <c:v>6.53059474052829</c:v>
                </c:pt>
                <c:pt idx="115">
                  <c:v>1.6425439812876705</c:v>
                </c:pt>
                <c:pt idx="116">
                  <c:v>8.6196495941893492</c:v>
                </c:pt>
                <c:pt idx="117">
                  <c:v>7.3051431160761293</c:v>
                </c:pt>
                <c:pt idx="118">
                  <c:v>1.9154824455814272</c:v>
                </c:pt>
                <c:pt idx="119">
                  <c:v>8.2059670919922372</c:v>
                </c:pt>
                <c:pt idx="120">
                  <c:v>9.6199296176302198</c:v>
                </c:pt>
                <c:pt idx="121">
                  <c:v>2.1242224589341334</c:v>
                </c:pt>
                <c:pt idx="122">
                  <c:v>6.5236838898225082</c:v>
                </c:pt>
                <c:pt idx="123">
                  <c:v>3.2680658224435954</c:v>
                </c:pt>
                <c:pt idx="124">
                  <c:v>17.613097538675376</c:v>
                </c:pt>
                <c:pt idx="125">
                  <c:v>4.7514886658259456</c:v>
                </c:pt>
                <c:pt idx="126">
                  <c:v>8.7045114994239956</c:v>
                </c:pt>
                <c:pt idx="127">
                  <c:v>9.7323682560612088</c:v>
                </c:pt>
                <c:pt idx="128">
                  <c:v>51.222437152644162</c:v>
                </c:pt>
                <c:pt idx="129">
                  <c:v>9.9491187359733306</c:v>
                </c:pt>
                <c:pt idx="130">
                  <c:v>54.774615603399752</c:v>
                </c:pt>
                <c:pt idx="131">
                  <c:v>8.5110664428376985</c:v>
                </c:pt>
                <c:pt idx="132">
                  <c:v>1.8533420332617323</c:v>
                </c:pt>
                <c:pt idx="133">
                  <c:v>5.0939953091866519</c:v>
                </c:pt>
                <c:pt idx="134">
                  <c:v>10.41963673770536</c:v>
                </c:pt>
                <c:pt idx="135">
                  <c:v>9.8668252472922759</c:v>
                </c:pt>
                <c:pt idx="136">
                  <c:v>19.244102305616</c:v>
                </c:pt>
                <c:pt idx="137">
                  <c:v>9.7798356076911865</c:v>
                </c:pt>
                <c:pt idx="138">
                  <c:v>74.230314362578355</c:v>
                </c:pt>
                <c:pt idx="139">
                  <c:v>9.3992778969913324</c:v>
                </c:pt>
                <c:pt idx="140">
                  <c:v>3.6720013470296511</c:v>
                </c:pt>
                <c:pt idx="141">
                  <c:v>10.384353896339507</c:v>
                </c:pt>
                <c:pt idx="142">
                  <c:v>64.086286962949529</c:v>
                </c:pt>
                <c:pt idx="143">
                  <c:v>0.48869703602142317</c:v>
                </c:pt>
                <c:pt idx="144">
                  <c:v>13.152612415899622</c:v>
                </c:pt>
                <c:pt idx="145">
                  <c:v>8.1543683535079801</c:v>
                </c:pt>
                <c:pt idx="146">
                  <c:v>2.360767741192749</c:v>
                </c:pt>
                <c:pt idx="147">
                  <c:v>9.352753450488148</c:v>
                </c:pt>
                <c:pt idx="148">
                  <c:v>3.7593936815132158</c:v>
                </c:pt>
                <c:pt idx="149">
                  <c:v>10.194306688921241</c:v>
                </c:pt>
                <c:pt idx="150">
                  <c:v>6.8526362400364151</c:v>
                </c:pt>
                <c:pt idx="151">
                  <c:v>7.93043475436503</c:v>
                </c:pt>
                <c:pt idx="152">
                  <c:v>7.6510204607353369</c:v>
                </c:pt>
                <c:pt idx="153">
                  <c:v>14.301683028730929</c:v>
                </c:pt>
                <c:pt idx="154">
                  <c:v>27.756508354551009</c:v>
                </c:pt>
                <c:pt idx="155">
                  <c:v>3.2614615992910401</c:v>
                </c:pt>
                <c:pt idx="156">
                  <c:v>3.1564395744231888</c:v>
                </c:pt>
                <c:pt idx="157">
                  <c:v>2.5563265813370601</c:v>
                </c:pt>
                <c:pt idx="158">
                  <c:v>10.932032964644351</c:v>
                </c:pt>
                <c:pt idx="159">
                  <c:v>11.551075301078669</c:v>
                </c:pt>
                <c:pt idx="160">
                  <c:v>4.3120671075870494</c:v>
                </c:pt>
                <c:pt idx="161">
                  <c:v>9.1830587429991848</c:v>
                </c:pt>
                <c:pt idx="162">
                  <c:v>8.6179244573016316</c:v>
                </c:pt>
                <c:pt idx="163">
                  <c:v>3.347432795884584</c:v>
                </c:pt>
                <c:pt idx="164">
                  <c:v>6.8469431312451814</c:v>
                </c:pt>
                <c:pt idx="165">
                  <c:v>9.7710923544665107</c:v>
                </c:pt>
                <c:pt idx="166">
                  <c:v>11.309146506110071</c:v>
                </c:pt>
                <c:pt idx="167">
                  <c:v>86.049198211061224</c:v>
                </c:pt>
                <c:pt idx="168">
                  <c:v>1.088476284556448</c:v>
                </c:pt>
                <c:pt idx="169">
                  <c:v>7.3320448636295357</c:v>
                </c:pt>
                <c:pt idx="170">
                  <c:v>2.5458356259423716</c:v>
                </c:pt>
                <c:pt idx="171">
                  <c:v>7.172581093238815</c:v>
                </c:pt>
                <c:pt idx="172">
                  <c:v>14.970913597491347</c:v>
                </c:pt>
                <c:pt idx="173">
                  <c:v>1.7865678213753196</c:v>
                </c:pt>
                <c:pt idx="174">
                  <c:v>6.3664210625058093</c:v>
                </c:pt>
                <c:pt idx="175">
                  <c:v>14.414392651856691</c:v>
                </c:pt>
                <c:pt idx="176">
                  <c:v>6.9291596975091982</c:v>
                </c:pt>
                <c:pt idx="177">
                  <c:v>9.4303948642446276</c:v>
                </c:pt>
                <c:pt idx="178">
                  <c:v>7.4438005568175072</c:v>
                </c:pt>
                <c:pt idx="179">
                  <c:v>5.7327230440974084</c:v>
                </c:pt>
                <c:pt idx="180">
                  <c:v>42.226879845304168</c:v>
                </c:pt>
                <c:pt idx="181">
                  <c:v>11.259859258421002</c:v>
                </c:pt>
                <c:pt idx="182">
                  <c:v>3.809494827735318</c:v>
                </c:pt>
                <c:pt idx="183">
                  <c:v>11.007533126838043</c:v>
                </c:pt>
                <c:pt idx="184">
                  <c:v>8.8609826351938654</c:v>
                </c:pt>
                <c:pt idx="185">
                  <c:v>60.17536963524779</c:v>
                </c:pt>
                <c:pt idx="186">
                  <c:v>4.9975704653932764</c:v>
                </c:pt>
                <c:pt idx="187">
                  <c:v>20.14045770993426</c:v>
                </c:pt>
                <c:pt idx="188">
                  <c:v>3.9540533570239447</c:v>
                </c:pt>
                <c:pt idx="189">
                  <c:v>8.5717859757718262</c:v>
                </c:pt>
                <c:pt idx="190">
                  <c:v>11.5595953417163</c:v>
                </c:pt>
                <c:pt idx="191">
                  <c:v>6.1042593000850642</c:v>
                </c:pt>
                <c:pt idx="192">
                  <c:v>31.755118692210988</c:v>
                </c:pt>
                <c:pt idx="193">
                  <c:v>11.110160391356104</c:v>
                </c:pt>
                <c:pt idx="194">
                  <c:v>10.669641006739104</c:v>
                </c:pt>
                <c:pt idx="195">
                  <c:v>9.0833238957020406</c:v>
                </c:pt>
                <c:pt idx="196">
                  <c:v>9.7718380794139321</c:v>
                </c:pt>
                <c:pt idx="197">
                  <c:v>12.56727339971736</c:v>
                </c:pt>
                <c:pt idx="198">
                  <c:v>2.7484313727984455</c:v>
                </c:pt>
                <c:pt idx="199">
                  <c:v>21.858126279655004</c:v>
                </c:pt>
                <c:pt idx="200">
                  <c:v>6.6119530860787332</c:v>
                </c:pt>
                <c:pt idx="201">
                  <c:v>5.1534627084191964</c:v>
                </c:pt>
                <c:pt idx="202">
                  <c:v>6.1624417703871925</c:v>
                </c:pt>
                <c:pt idx="203">
                  <c:v>64.132170486730701</c:v>
                </c:pt>
                <c:pt idx="204">
                  <c:v>6.718976004931017</c:v>
                </c:pt>
                <c:pt idx="205">
                  <c:v>36.786634203953703</c:v>
                </c:pt>
                <c:pt idx="206">
                  <c:v>4.3863538544455611</c:v>
                </c:pt>
                <c:pt idx="207">
                  <c:v>7.7958151680013117</c:v>
                </c:pt>
                <c:pt idx="208">
                  <c:v>4.0213050962071772</c:v>
                </c:pt>
                <c:pt idx="209">
                  <c:v>7.4349443598108644</c:v>
                </c:pt>
                <c:pt idx="210">
                  <c:v>2.2007739200751115</c:v>
                </c:pt>
                <c:pt idx="211">
                  <c:v>7.1159588047338911</c:v>
                </c:pt>
                <c:pt idx="212">
                  <c:v>30.713355053182841</c:v>
                </c:pt>
                <c:pt idx="213">
                  <c:v>4.3281250647086909</c:v>
                </c:pt>
                <c:pt idx="214">
                  <c:v>7.4179369636540793</c:v>
                </c:pt>
                <c:pt idx="215">
                  <c:v>6.7907605966328042</c:v>
                </c:pt>
                <c:pt idx="216">
                  <c:v>14.708284211511415</c:v>
                </c:pt>
                <c:pt idx="217">
                  <c:v>1.5006546519477899</c:v>
                </c:pt>
                <c:pt idx="218">
                  <c:v>3.1810928367046576</c:v>
                </c:pt>
                <c:pt idx="219">
                  <c:v>196.62837377482958</c:v>
                </c:pt>
                <c:pt idx="220">
                  <c:v>7.7285828902967904</c:v>
                </c:pt>
                <c:pt idx="221">
                  <c:v>22.967242966629037</c:v>
                </c:pt>
                <c:pt idx="222">
                  <c:v>2.9433988458032587</c:v>
                </c:pt>
                <c:pt idx="223">
                  <c:v>9.7542091042883072</c:v>
                </c:pt>
                <c:pt idx="224">
                  <c:v>3.6149807106731338</c:v>
                </c:pt>
                <c:pt idx="225">
                  <c:v>12.341923308332323</c:v>
                </c:pt>
                <c:pt idx="226">
                  <c:v>2.998831098957051</c:v>
                </c:pt>
                <c:pt idx="227">
                  <c:v>3.8260327940306698</c:v>
                </c:pt>
                <c:pt idx="228">
                  <c:v>40.47347066341429</c:v>
                </c:pt>
                <c:pt idx="229">
                  <c:v>3.7132306347582329</c:v>
                </c:pt>
                <c:pt idx="230">
                  <c:v>68.419486909888306</c:v>
                </c:pt>
                <c:pt idx="231">
                  <c:v>53.980874084894559</c:v>
                </c:pt>
                <c:pt idx="232">
                  <c:v>5.7227552809579088</c:v>
                </c:pt>
                <c:pt idx="233">
                  <c:v>9.3545271671484507</c:v>
                </c:pt>
                <c:pt idx="234">
                  <c:v>1.2426210292326672</c:v>
                </c:pt>
                <c:pt idx="235">
                  <c:v>5.519069732497516</c:v>
                </c:pt>
                <c:pt idx="236">
                  <c:v>7.4741924898508971</c:v>
                </c:pt>
                <c:pt idx="237">
                  <c:v>2.9051652693248946</c:v>
                </c:pt>
                <c:pt idx="238">
                  <c:v>5.4377667137916932</c:v>
                </c:pt>
                <c:pt idx="239">
                  <c:v>3.9109137522023216</c:v>
                </c:pt>
                <c:pt idx="240">
                  <c:v>4.3540471061468509</c:v>
                </c:pt>
                <c:pt idx="241">
                  <c:v>18.879653340172602</c:v>
                </c:pt>
                <c:pt idx="242">
                  <c:v>2.1407194815579254</c:v>
                </c:pt>
                <c:pt idx="243">
                  <c:v>10.784550495827428</c:v>
                </c:pt>
                <c:pt idx="244">
                  <c:v>0.82797705248360109</c:v>
                </c:pt>
                <c:pt idx="245">
                  <c:v>2.8703636725383475</c:v>
                </c:pt>
                <c:pt idx="246">
                  <c:v>4.2460078458593911</c:v>
                </c:pt>
                <c:pt idx="247">
                  <c:v>7.0448288534565453</c:v>
                </c:pt>
                <c:pt idx="248">
                  <c:v>8.1080140519646449</c:v>
                </c:pt>
                <c:pt idx="249">
                  <c:v>101.84193089292316</c:v>
                </c:pt>
                <c:pt idx="250">
                  <c:v>8.4481187525267192</c:v>
                </c:pt>
                <c:pt idx="251">
                  <c:v>8.9260896423745937</c:v>
                </c:pt>
                <c:pt idx="252">
                  <c:v>1.7760996826040085</c:v>
                </c:pt>
                <c:pt idx="253">
                  <c:v>2.6694978466341723</c:v>
                </c:pt>
                <c:pt idx="254">
                  <c:v>6.7768579385818519</c:v>
                </c:pt>
                <c:pt idx="255">
                  <c:v>283.16691225129165</c:v>
                </c:pt>
                <c:pt idx="256">
                  <c:v>66.874147868688453</c:v>
                </c:pt>
                <c:pt idx="257">
                  <c:v>5.5618801609431809</c:v>
                </c:pt>
                <c:pt idx="258">
                  <c:v>27.519415602549682</c:v>
                </c:pt>
                <c:pt idx="259">
                  <c:v>59.625465898760638</c:v>
                </c:pt>
                <c:pt idx="260">
                  <c:v>19.615495199880566</c:v>
                </c:pt>
                <c:pt idx="261">
                  <c:v>3.6416036844350206</c:v>
                </c:pt>
                <c:pt idx="262">
                  <c:v>10.743730430306995</c:v>
                </c:pt>
                <c:pt idx="263">
                  <c:v>11.754375898993148</c:v>
                </c:pt>
                <c:pt idx="264">
                  <c:v>8.9763902337237251</c:v>
                </c:pt>
                <c:pt idx="265">
                  <c:v>68.282246033768075</c:v>
                </c:pt>
                <c:pt idx="266">
                  <c:v>3.3734423013253698</c:v>
                </c:pt>
                <c:pt idx="267">
                  <c:v>7.1635461394284805</c:v>
                </c:pt>
                <c:pt idx="268">
                  <c:v>6.5571150324348597</c:v>
                </c:pt>
                <c:pt idx="269">
                  <c:v>1.8677914575142285</c:v>
                </c:pt>
                <c:pt idx="270">
                  <c:v>5.3539274983744987</c:v>
                </c:pt>
                <c:pt idx="271">
                  <c:v>9.4740778118923998</c:v>
                </c:pt>
                <c:pt idx="272">
                  <c:v>138.18467107511051</c:v>
                </c:pt>
                <c:pt idx="273">
                  <c:v>9.541763214582005</c:v>
                </c:pt>
                <c:pt idx="274">
                  <c:v>57.2403263502759</c:v>
                </c:pt>
                <c:pt idx="275">
                  <c:v>69.339239153445718</c:v>
                </c:pt>
                <c:pt idx="276">
                  <c:v>6.0230207189244922</c:v>
                </c:pt>
                <c:pt idx="277">
                  <c:v>4.0100054899608208</c:v>
                </c:pt>
                <c:pt idx="278">
                  <c:v>1.3610713793542439</c:v>
                </c:pt>
                <c:pt idx="279">
                  <c:v>9.757661841924433</c:v>
                </c:pt>
                <c:pt idx="280">
                  <c:v>46.763392940471419</c:v>
                </c:pt>
                <c:pt idx="281">
                  <c:v>56.283449908035628</c:v>
                </c:pt>
                <c:pt idx="282">
                  <c:v>130.38443040456767</c:v>
                </c:pt>
                <c:pt idx="283">
                  <c:v>2.6849927248905443</c:v>
                </c:pt>
                <c:pt idx="284">
                  <c:v>7.0933761065749978</c:v>
                </c:pt>
                <c:pt idx="285">
                  <c:v>13.301696650498336</c:v>
                </c:pt>
                <c:pt idx="286">
                  <c:v>49.203884948189547</c:v>
                </c:pt>
                <c:pt idx="287">
                  <c:v>2.284788193446718</c:v>
                </c:pt>
                <c:pt idx="288">
                  <c:v>9.3867774310318186</c:v>
                </c:pt>
                <c:pt idx="289">
                  <c:v>1.6734954100299351</c:v>
                </c:pt>
                <c:pt idx="290">
                  <c:v>16.366330503506791</c:v>
                </c:pt>
                <c:pt idx="291">
                  <c:v>5.6126771380730904</c:v>
                </c:pt>
                <c:pt idx="292">
                  <c:v>10.205420918762966</c:v>
                </c:pt>
                <c:pt idx="293">
                  <c:v>11.240801546894962</c:v>
                </c:pt>
                <c:pt idx="294">
                  <c:v>4.2002522301677034</c:v>
                </c:pt>
                <c:pt idx="295">
                  <c:v>5.9433509890349798</c:v>
                </c:pt>
                <c:pt idx="296">
                  <c:v>21.633957974524172</c:v>
                </c:pt>
                <c:pt idx="297">
                  <c:v>23.805685145371086</c:v>
                </c:pt>
                <c:pt idx="298">
                  <c:v>2.7959083183802318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3-42EF-8C49-556DEC200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005616"/>
        <c:axId val="1403000336"/>
      </c:lineChart>
      <c:catAx>
        <c:axId val="140300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3000336"/>
        <c:crosses val="autoZero"/>
        <c:auto val="1"/>
        <c:lblAlgn val="ctr"/>
        <c:lblOffset val="100"/>
        <c:noMultiLvlLbl val="0"/>
      </c:catAx>
      <c:valAx>
        <c:axId val="14030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300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Автокореляционный</a:t>
            </a:r>
            <a:r>
              <a:rPr lang="ru-RU" baseline="0"/>
              <a:t> анализ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9400481189851269E-2"/>
          <c:y val="0.17869203849518808"/>
          <c:w val="0.87615507436570428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Лист1!$C$1:$C$10</c:f>
              <c:numCache>
                <c:formatCode>General</c:formatCode>
                <c:ptCount val="10"/>
                <c:pt idx="0">
                  <c:v>-2.43077302222391E-3</c:v>
                </c:pt>
                <c:pt idx="1">
                  <c:v>-2.03044421485974E-3</c:v>
                </c:pt>
                <c:pt idx="2">
                  <c:v>-5.1186620444903602E-2</c:v>
                </c:pt>
                <c:pt idx="3">
                  <c:v>-3.2491226341113899E-2</c:v>
                </c:pt>
                <c:pt idx="4">
                  <c:v>-7.2222201741917499E-2</c:v>
                </c:pt>
                <c:pt idx="5">
                  <c:v>3.0227775162413598E-2</c:v>
                </c:pt>
                <c:pt idx="6">
                  <c:v>2.0829767986931601E-2</c:v>
                </c:pt>
                <c:pt idx="7">
                  <c:v>2.36303683026713E-2</c:v>
                </c:pt>
                <c:pt idx="8">
                  <c:v>2.1524398881340199E-2</c:v>
                </c:pt>
                <c:pt idx="9">
                  <c:v>0.144806004576574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2-4161-ADD4-A0650B396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050672"/>
        <c:axId val="1203058352"/>
      </c:lineChart>
      <c:catAx>
        <c:axId val="120305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058352"/>
        <c:crosses val="autoZero"/>
        <c:auto val="1"/>
        <c:lblAlgn val="ctr"/>
        <c:lblOffset val="100"/>
        <c:noMultiLvlLbl val="0"/>
      </c:catAx>
      <c:valAx>
        <c:axId val="12030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05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числовой последовательности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4509186351706034E-2"/>
          <c:y val="0.17171296296296298"/>
          <c:w val="0.89030796150481195"/>
          <c:h val="0.7087813502478856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Лист1!$W$1:$W$300</c:f>
              <c:numCache>
                <c:formatCode>General</c:formatCode>
                <c:ptCount val="300"/>
                <c:pt idx="0">
                  <c:v>0.82375290945858515</c:v>
                </c:pt>
                <c:pt idx="1">
                  <c:v>121.58749349630405</c:v>
                </c:pt>
                <c:pt idx="2">
                  <c:v>74.274720116657051</c:v>
                </c:pt>
                <c:pt idx="3">
                  <c:v>12.547463726280805</c:v>
                </c:pt>
                <c:pt idx="4">
                  <c:v>2.3474989155770434</c:v>
                </c:pt>
                <c:pt idx="5">
                  <c:v>23.566395910709002</c:v>
                </c:pt>
                <c:pt idx="6">
                  <c:v>17.708672620241703</c:v>
                </c:pt>
                <c:pt idx="7">
                  <c:v>3.3364907401960443E-2</c:v>
                </c:pt>
                <c:pt idx="8">
                  <c:v>11.358803399288524</c:v>
                </c:pt>
                <c:pt idx="9">
                  <c:v>2.0272558557724483</c:v>
                </c:pt>
                <c:pt idx="10">
                  <c:v>4.8535222864698326</c:v>
                </c:pt>
                <c:pt idx="11">
                  <c:v>49.350761064104304</c:v>
                </c:pt>
                <c:pt idx="12">
                  <c:v>17.323697432903764</c:v>
                </c:pt>
                <c:pt idx="13">
                  <c:v>4.8170623325190851</c:v>
                </c:pt>
                <c:pt idx="14">
                  <c:v>9.1989537677659055</c:v>
                </c:pt>
                <c:pt idx="15">
                  <c:v>10.909832718250142</c:v>
                </c:pt>
                <c:pt idx="16">
                  <c:v>0.37441789543140985</c:v>
                </c:pt>
                <c:pt idx="17">
                  <c:v>7.0622691539758566</c:v>
                </c:pt>
                <c:pt idx="18">
                  <c:v>16.723107666597997</c:v>
                </c:pt>
                <c:pt idx="19">
                  <c:v>7.1645176578325076</c:v>
                </c:pt>
                <c:pt idx="20">
                  <c:v>10.201435096234908</c:v>
                </c:pt>
                <c:pt idx="21">
                  <c:v>4.34309789016383</c:v>
                </c:pt>
                <c:pt idx="22">
                  <c:v>6.0108672625180874E-2</c:v>
                </c:pt>
                <c:pt idx="23">
                  <c:v>0.71166510583849008</c:v>
                </c:pt>
                <c:pt idx="24">
                  <c:v>6.8957238449038627</c:v>
                </c:pt>
                <c:pt idx="25">
                  <c:v>2.6211303462024111</c:v>
                </c:pt>
                <c:pt idx="26">
                  <c:v>1.200233419758624</c:v>
                </c:pt>
                <c:pt idx="27">
                  <c:v>9.1511475131216891</c:v>
                </c:pt>
                <c:pt idx="28">
                  <c:v>10.290626933473572</c:v>
                </c:pt>
                <c:pt idx="29">
                  <c:v>4.0803663062330022</c:v>
                </c:pt>
                <c:pt idx="30">
                  <c:v>1.2013005213049279</c:v>
                </c:pt>
                <c:pt idx="31">
                  <c:v>0.34887412701479009</c:v>
                </c:pt>
                <c:pt idx="32">
                  <c:v>42.788058028195415</c:v>
                </c:pt>
                <c:pt idx="33">
                  <c:v>5.8335853926842134</c:v>
                </c:pt>
                <c:pt idx="34">
                  <c:v>2.95497961819181</c:v>
                </c:pt>
                <c:pt idx="35">
                  <c:v>3.6568819647962636</c:v>
                </c:pt>
                <c:pt idx="36">
                  <c:v>28.425618257427352</c:v>
                </c:pt>
                <c:pt idx="37">
                  <c:v>16.463462127687261</c:v>
                </c:pt>
                <c:pt idx="38">
                  <c:v>4.7407134984650297</c:v>
                </c:pt>
                <c:pt idx="39">
                  <c:v>127.20152638811317</c:v>
                </c:pt>
                <c:pt idx="40">
                  <c:v>58.454563321770053</c:v>
                </c:pt>
                <c:pt idx="41">
                  <c:v>14.754815386663362</c:v>
                </c:pt>
                <c:pt idx="42">
                  <c:v>2.5911192455665613</c:v>
                </c:pt>
                <c:pt idx="43">
                  <c:v>6.516884491112436E-2</c:v>
                </c:pt>
                <c:pt idx="44">
                  <c:v>22.458363612716855</c:v>
                </c:pt>
                <c:pt idx="45">
                  <c:v>3.5752815990021958</c:v>
                </c:pt>
                <c:pt idx="46">
                  <c:v>40.150607789648994</c:v>
                </c:pt>
                <c:pt idx="47">
                  <c:v>1.4032069461098142</c:v>
                </c:pt>
                <c:pt idx="48">
                  <c:v>1.1373914942324999</c:v>
                </c:pt>
                <c:pt idx="49">
                  <c:v>9.319813607188312</c:v>
                </c:pt>
                <c:pt idx="50">
                  <c:v>9.1920423221406207</c:v>
                </c:pt>
                <c:pt idx="51">
                  <c:v>11.417077680145292</c:v>
                </c:pt>
                <c:pt idx="52">
                  <c:v>9.712102254413816</c:v>
                </c:pt>
                <c:pt idx="53">
                  <c:v>1.2573573274758079</c:v>
                </c:pt>
                <c:pt idx="54">
                  <c:v>7.2241262991399289</c:v>
                </c:pt>
                <c:pt idx="55">
                  <c:v>83.176601956561711</c:v>
                </c:pt>
                <c:pt idx="56">
                  <c:v>2.4200080550288505</c:v>
                </c:pt>
                <c:pt idx="57">
                  <c:v>7.3248078590061763</c:v>
                </c:pt>
                <c:pt idx="58">
                  <c:v>2.2716759061254947</c:v>
                </c:pt>
                <c:pt idx="59">
                  <c:v>10.440075754633913</c:v>
                </c:pt>
                <c:pt idx="60">
                  <c:v>1.1301464387881619</c:v>
                </c:pt>
                <c:pt idx="61">
                  <c:v>22.146078678372707</c:v>
                </c:pt>
                <c:pt idx="62">
                  <c:v>5.096734995582155</c:v>
                </c:pt>
                <c:pt idx="63">
                  <c:v>9.181058381565304</c:v>
                </c:pt>
                <c:pt idx="64">
                  <c:v>38.738193844431613</c:v>
                </c:pt>
                <c:pt idx="65">
                  <c:v>28.695281347656309</c:v>
                </c:pt>
                <c:pt idx="66">
                  <c:v>4.4607916977737174</c:v>
                </c:pt>
                <c:pt idx="67">
                  <c:v>12.135358027446985</c:v>
                </c:pt>
                <c:pt idx="68">
                  <c:v>5.2574313114141775</c:v>
                </c:pt>
                <c:pt idx="69">
                  <c:v>14.167306210331688</c:v>
                </c:pt>
                <c:pt idx="70">
                  <c:v>199.37465947234347</c:v>
                </c:pt>
                <c:pt idx="71">
                  <c:v>4.6774894996768088</c:v>
                </c:pt>
                <c:pt idx="72">
                  <c:v>3.5182818187240774</c:v>
                </c:pt>
                <c:pt idx="73">
                  <c:v>16.20882270928589</c:v>
                </c:pt>
                <c:pt idx="74">
                  <c:v>9.6186161699373844</c:v>
                </c:pt>
                <c:pt idx="75">
                  <c:v>12.111120812273173</c:v>
                </c:pt>
                <c:pt idx="76">
                  <c:v>21.042072633641286</c:v>
                </c:pt>
                <c:pt idx="77">
                  <c:v>1.0382981626819112</c:v>
                </c:pt>
                <c:pt idx="78">
                  <c:v>2.8869699763613612</c:v>
                </c:pt>
                <c:pt idx="79">
                  <c:v>9.197563476713146</c:v>
                </c:pt>
                <c:pt idx="80">
                  <c:v>2.8608495756801462</c:v>
                </c:pt>
                <c:pt idx="81">
                  <c:v>2.8809298304380366</c:v>
                </c:pt>
                <c:pt idx="82">
                  <c:v>7.0189042839020432</c:v>
                </c:pt>
                <c:pt idx="83">
                  <c:v>0.73462450372831012</c:v>
                </c:pt>
                <c:pt idx="84">
                  <c:v>16.628837641635357</c:v>
                </c:pt>
                <c:pt idx="85">
                  <c:v>0.53851684763687246</c:v>
                </c:pt>
                <c:pt idx="86">
                  <c:v>3.7024416012651531</c:v>
                </c:pt>
                <c:pt idx="87">
                  <c:v>14.012351410867453</c:v>
                </c:pt>
                <c:pt idx="88">
                  <c:v>39.499379761842107</c:v>
                </c:pt>
                <c:pt idx="89">
                  <c:v>16.03980779446308</c:v>
                </c:pt>
                <c:pt idx="90">
                  <c:v>27.860308724439609</c:v>
                </c:pt>
                <c:pt idx="91">
                  <c:v>0.11271520990560907</c:v>
                </c:pt>
                <c:pt idx="92">
                  <c:v>4.0013067953775465</c:v>
                </c:pt>
                <c:pt idx="93">
                  <c:v>5.1811857735316558</c:v>
                </c:pt>
                <c:pt idx="94">
                  <c:v>0.30913895746808906</c:v>
                </c:pt>
                <c:pt idx="95">
                  <c:v>20.205804569389574</c:v>
                </c:pt>
                <c:pt idx="96">
                  <c:v>15.460036707535508</c:v>
                </c:pt>
                <c:pt idx="97">
                  <c:v>8.0302592136042499</c:v>
                </c:pt>
                <c:pt idx="98">
                  <c:v>14.367160637752916</c:v>
                </c:pt>
                <c:pt idx="99">
                  <c:v>8.0039478366297772</c:v>
                </c:pt>
                <c:pt idx="100">
                  <c:v>13.943080762808687</c:v>
                </c:pt>
                <c:pt idx="101">
                  <c:v>70.639712117465024</c:v>
                </c:pt>
                <c:pt idx="102">
                  <c:v>1.6544828178942577</c:v>
                </c:pt>
                <c:pt idx="103">
                  <c:v>1.7045147162074539</c:v>
                </c:pt>
                <c:pt idx="104">
                  <c:v>11.238455058259797</c:v>
                </c:pt>
                <c:pt idx="105">
                  <c:v>30.9662411248752</c:v>
                </c:pt>
                <c:pt idx="106">
                  <c:v>7.4410993857125742</c:v>
                </c:pt>
                <c:pt idx="107">
                  <c:v>4.8690701917081709</c:v>
                </c:pt>
                <c:pt idx="108">
                  <c:v>21.040864645660655</c:v>
                </c:pt>
                <c:pt idx="109">
                  <c:v>10.790331959806334</c:v>
                </c:pt>
                <c:pt idx="110">
                  <c:v>10.811851940974169</c:v>
                </c:pt>
                <c:pt idx="111">
                  <c:v>8.803154290837794</c:v>
                </c:pt>
                <c:pt idx="112">
                  <c:v>0.84602357744300549</c:v>
                </c:pt>
                <c:pt idx="113">
                  <c:v>0.27287716075083396</c:v>
                </c:pt>
                <c:pt idx="114">
                  <c:v>112.19489789511158</c:v>
                </c:pt>
                <c:pt idx="115">
                  <c:v>4.4779518096594719</c:v>
                </c:pt>
                <c:pt idx="116">
                  <c:v>8.459615025983263</c:v>
                </c:pt>
                <c:pt idx="117">
                  <c:v>5.4976393426204071</c:v>
                </c:pt>
                <c:pt idx="118">
                  <c:v>2.3086861811132748</c:v>
                </c:pt>
                <c:pt idx="119">
                  <c:v>5.6582842748937106</c:v>
                </c:pt>
                <c:pt idx="120">
                  <c:v>6.2033547046016411</c:v>
                </c:pt>
                <c:pt idx="121">
                  <c:v>11.103012324253868</c:v>
                </c:pt>
                <c:pt idx="122">
                  <c:v>15.444336582948885</c:v>
                </c:pt>
                <c:pt idx="123">
                  <c:v>6.8435835769051936</c:v>
                </c:pt>
                <c:pt idx="124">
                  <c:v>1.7166844368906509</c:v>
                </c:pt>
                <c:pt idx="125">
                  <c:v>14.954230952667157</c:v>
                </c:pt>
                <c:pt idx="126">
                  <c:v>2.737441353727855</c:v>
                </c:pt>
                <c:pt idx="127">
                  <c:v>10.748502360346684</c:v>
                </c:pt>
                <c:pt idx="128">
                  <c:v>3.3988482916201837E-2</c:v>
                </c:pt>
                <c:pt idx="129">
                  <c:v>99.173026809338111</c:v>
                </c:pt>
                <c:pt idx="130">
                  <c:v>25.501826182172998</c:v>
                </c:pt>
                <c:pt idx="131">
                  <c:v>10.945980452743141</c:v>
                </c:pt>
                <c:pt idx="132">
                  <c:v>1.3553888969047347</c:v>
                </c:pt>
                <c:pt idx="133">
                  <c:v>150.89153834735109</c:v>
                </c:pt>
                <c:pt idx="134">
                  <c:v>1.4218593654178087</c:v>
                </c:pt>
                <c:pt idx="135">
                  <c:v>15.032343735994804</c:v>
                </c:pt>
                <c:pt idx="136">
                  <c:v>11.376432615646248</c:v>
                </c:pt>
                <c:pt idx="137">
                  <c:v>63.237169810088339</c:v>
                </c:pt>
                <c:pt idx="138">
                  <c:v>13.938904919217169</c:v>
                </c:pt>
                <c:pt idx="139">
                  <c:v>3.6499397981929906</c:v>
                </c:pt>
                <c:pt idx="140">
                  <c:v>2.9543778111757533</c:v>
                </c:pt>
                <c:pt idx="141">
                  <c:v>1.9685316436549971</c:v>
                </c:pt>
                <c:pt idx="142">
                  <c:v>196.13968542364742</c:v>
                </c:pt>
                <c:pt idx="143">
                  <c:v>2.9545163123155769</c:v>
                </c:pt>
                <c:pt idx="144">
                  <c:v>3.7063334677561501</c:v>
                </c:pt>
                <c:pt idx="145">
                  <c:v>7.3555262989489343</c:v>
                </c:pt>
                <c:pt idx="146">
                  <c:v>4.8118505958030706</c:v>
                </c:pt>
                <c:pt idx="147">
                  <c:v>7.0609665195879341</c:v>
                </c:pt>
                <c:pt idx="148">
                  <c:v>0.16556148777904983</c:v>
                </c:pt>
                <c:pt idx="149">
                  <c:v>0.82829527867194241</c:v>
                </c:pt>
                <c:pt idx="150">
                  <c:v>11.176146930710825</c:v>
                </c:pt>
                <c:pt idx="151">
                  <c:v>6.9021469994881315</c:v>
                </c:pt>
                <c:pt idx="152">
                  <c:v>23.08954554629814</c:v>
                </c:pt>
                <c:pt idx="153">
                  <c:v>0.23310211644290491</c:v>
                </c:pt>
                <c:pt idx="154">
                  <c:v>5.5386023193196454</c:v>
                </c:pt>
                <c:pt idx="155">
                  <c:v>31.755866002927316</c:v>
                </c:pt>
                <c:pt idx="156">
                  <c:v>9.150699853799809</c:v>
                </c:pt>
                <c:pt idx="157">
                  <c:v>23.311497308907729</c:v>
                </c:pt>
                <c:pt idx="158">
                  <c:v>35.503234770519924</c:v>
                </c:pt>
                <c:pt idx="159">
                  <c:v>3.6389684302057721</c:v>
                </c:pt>
                <c:pt idx="160">
                  <c:v>2.0467993087602041</c:v>
                </c:pt>
                <c:pt idx="161">
                  <c:v>2.5283975715393709</c:v>
                </c:pt>
                <c:pt idx="162">
                  <c:v>6.7072877837346656</c:v>
                </c:pt>
                <c:pt idx="163">
                  <c:v>0.30129337097754882</c:v>
                </c:pt>
                <c:pt idx="164">
                  <c:v>4.77855994131186</c:v>
                </c:pt>
                <c:pt idx="165">
                  <c:v>10.659516342789782</c:v>
                </c:pt>
                <c:pt idx="166">
                  <c:v>11.520542087223507</c:v>
                </c:pt>
                <c:pt idx="167">
                  <c:v>42.779080167710532</c:v>
                </c:pt>
                <c:pt idx="168">
                  <c:v>112.45587525141435</c:v>
                </c:pt>
                <c:pt idx="169">
                  <c:v>5.3914752822709291</c:v>
                </c:pt>
                <c:pt idx="170">
                  <c:v>0.13044982782354886</c:v>
                </c:pt>
                <c:pt idx="171">
                  <c:v>47.999831397056433</c:v>
                </c:pt>
                <c:pt idx="172">
                  <c:v>26.026154072045038</c:v>
                </c:pt>
                <c:pt idx="173">
                  <c:v>1.949723855719057</c:v>
                </c:pt>
                <c:pt idx="174">
                  <c:v>0.73274699838140822</c:v>
                </c:pt>
                <c:pt idx="175">
                  <c:v>3.7714583906412948</c:v>
                </c:pt>
                <c:pt idx="176">
                  <c:v>5.9441178639874677</c:v>
                </c:pt>
                <c:pt idx="177">
                  <c:v>11.794789216849621</c:v>
                </c:pt>
                <c:pt idx="178">
                  <c:v>7.1455922881419074</c:v>
                </c:pt>
                <c:pt idx="179">
                  <c:v>11.849219039168496</c:v>
                </c:pt>
                <c:pt idx="180">
                  <c:v>18.565608830272527</c:v>
                </c:pt>
                <c:pt idx="181">
                  <c:v>2.7382570802632884</c:v>
                </c:pt>
                <c:pt idx="182">
                  <c:v>1.4541765216052764</c:v>
                </c:pt>
                <c:pt idx="183">
                  <c:v>20.834711576941331</c:v>
                </c:pt>
                <c:pt idx="184">
                  <c:v>10.924518042637155</c:v>
                </c:pt>
                <c:pt idx="185">
                  <c:v>9.2480246438627775E-2</c:v>
                </c:pt>
                <c:pt idx="186">
                  <c:v>9.7775344154919814</c:v>
                </c:pt>
                <c:pt idx="187">
                  <c:v>10.176867365805151</c:v>
                </c:pt>
                <c:pt idx="188">
                  <c:v>6.8545361070441722</c:v>
                </c:pt>
                <c:pt idx="189">
                  <c:v>4.9691972950061825</c:v>
                </c:pt>
                <c:pt idx="190">
                  <c:v>12.313179409528017</c:v>
                </c:pt>
                <c:pt idx="191">
                  <c:v>14.427070210055415</c:v>
                </c:pt>
                <c:pt idx="192">
                  <c:v>19.163259502690966</c:v>
                </c:pt>
                <c:pt idx="193">
                  <c:v>0.43681370905201627</c:v>
                </c:pt>
                <c:pt idx="194">
                  <c:v>26.262060740193096</c:v>
                </c:pt>
                <c:pt idx="195">
                  <c:v>12.131860847490302</c:v>
                </c:pt>
                <c:pt idx="196">
                  <c:v>39.039525338766275</c:v>
                </c:pt>
                <c:pt idx="197">
                  <c:v>35.443977312675408</c:v>
                </c:pt>
                <c:pt idx="198">
                  <c:v>11.090806992670032</c:v>
                </c:pt>
                <c:pt idx="199">
                  <c:v>0.69475624327535757</c:v>
                </c:pt>
                <c:pt idx="200">
                  <c:v>1.7930312179174406</c:v>
                </c:pt>
                <c:pt idx="201">
                  <c:v>6.6336407787735698</c:v>
                </c:pt>
                <c:pt idx="202">
                  <c:v>4.0595751687992392</c:v>
                </c:pt>
                <c:pt idx="203">
                  <c:v>0.16808764916230842</c:v>
                </c:pt>
                <c:pt idx="204">
                  <c:v>3.8016992553455689</c:v>
                </c:pt>
                <c:pt idx="205">
                  <c:v>7.7941234801200734</c:v>
                </c:pt>
                <c:pt idx="206">
                  <c:v>2.6640873114741912</c:v>
                </c:pt>
                <c:pt idx="207">
                  <c:v>0.37031812780472334</c:v>
                </c:pt>
                <c:pt idx="208">
                  <c:v>49.00604381342923</c:v>
                </c:pt>
                <c:pt idx="209">
                  <c:v>4.0768977994039064</c:v>
                </c:pt>
                <c:pt idx="210">
                  <c:v>2.4919514277212769</c:v>
                </c:pt>
                <c:pt idx="211">
                  <c:v>4.6145052216020881</c:v>
                </c:pt>
                <c:pt idx="212">
                  <c:v>3.2077991068634963</c:v>
                </c:pt>
                <c:pt idx="213">
                  <c:v>3.6399563344469144</c:v>
                </c:pt>
                <c:pt idx="214">
                  <c:v>43.139756293424945</c:v>
                </c:pt>
                <c:pt idx="215">
                  <c:v>13.373525189951817</c:v>
                </c:pt>
                <c:pt idx="216">
                  <c:v>11.674224182338255</c:v>
                </c:pt>
                <c:pt idx="217">
                  <c:v>13.528927533141999</c:v>
                </c:pt>
                <c:pt idx="218">
                  <c:v>5.9183979653416117</c:v>
                </c:pt>
                <c:pt idx="219">
                  <c:v>36.57019112659065</c:v>
                </c:pt>
                <c:pt idx="220">
                  <c:v>1.7042674252798102</c:v>
                </c:pt>
                <c:pt idx="221">
                  <c:v>5.550538178793925</c:v>
                </c:pt>
                <c:pt idx="222">
                  <c:v>12.772037694959591</c:v>
                </c:pt>
                <c:pt idx="223">
                  <c:v>16.496317069218637</c:v>
                </c:pt>
                <c:pt idx="224">
                  <c:v>21.556961417900329</c:v>
                </c:pt>
                <c:pt idx="225">
                  <c:v>33.466242444141955</c:v>
                </c:pt>
                <c:pt idx="226">
                  <c:v>0.43600573626743289</c:v>
                </c:pt>
                <c:pt idx="227">
                  <c:v>8.5953789202900204</c:v>
                </c:pt>
                <c:pt idx="228">
                  <c:v>3.7062209773899712</c:v>
                </c:pt>
                <c:pt idx="229">
                  <c:v>0.44955727175893428</c:v>
                </c:pt>
                <c:pt idx="230">
                  <c:v>4.0372524617855827</c:v>
                </c:pt>
                <c:pt idx="231">
                  <c:v>6.8168341615605499</c:v>
                </c:pt>
                <c:pt idx="232">
                  <c:v>14.794290461301136</c:v>
                </c:pt>
                <c:pt idx="233">
                  <c:v>4.2112632747110732</c:v>
                </c:pt>
                <c:pt idx="234">
                  <c:v>2.3922727741705603</c:v>
                </c:pt>
                <c:pt idx="235">
                  <c:v>6.3165448615082331</c:v>
                </c:pt>
                <c:pt idx="236">
                  <c:v>1.8381173622944338</c:v>
                </c:pt>
                <c:pt idx="237">
                  <c:v>6.3882555993251797</c:v>
                </c:pt>
                <c:pt idx="238">
                  <c:v>9.6854619690564832</c:v>
                </c:pt>
                <c:pt idx="239">
                  <c:v>16.429223035690203</c:v>
                </c:pt>
                <c:pt idx="240">
                  <c:v>37.411001341441299</c:v>
                </c:pt>
                <c:pt idx="241">
                  <c:v>0.65099799199543806</c:v>
                </c:pt>
                <c:pt idx="242">
                  <c:v>2.3134403043461309E-2</c:v>
                </c:pt>
                <c:pt idx="243">
                  <c:v>7.3003739075486989</c:v>
                </c:pt>
                <c:pt idx="244">
                  <c:v>11.134316861689214</c:v>
                </c:pt>
                <c:pt idx="245">
                  <c:v>3.2296272687947538</c:v>
                </c:pt>
                <c:pt idx="246">
                  <c:v>29.208632466635546</c:v>
                </c:pt>
                <c:pt idx="247">
                  <c:v>11.340943070639979</c:v>
                </c:pt>
                <c:pt idx="248">
                  <c:v>23.92355032875134</c:v>
                </c:pt>
                <c:pt idx="249">
                  <c:v>11.664900101707294</c:v>
                </c:pt>
                <c:pt idx="250">
                  <c:v>114.28509909916289</c:v>
                </c:pt>
                <c:pt idx="251">
                  <c:v>0.93638932371190575</c:v>
                </c:pt>
                <c:pt idx="252">
                  <c:v>1.277511362694612</c:v>
                </c:pt>
                <c:pt idx="253">
                  <c:v>13.026750743818829</c:v>
                </c:pt>
                <c:pt idx="254">
                  <c:v>4.5938438744684076</c:v>
                </c:pt>
                <c:pt idx="255">
                  <c:v>5.028973327565283</c:v>
                </c:pt>
                <c:pt idx="256">
                  <c:v>2.1337574707151528</c:v>
                </c:pt>
                <c:pt idx="257">
                  <c:v>28.953889764163286</c:v>
                </c:pt>
                <c:pt idx="258">
                  <c:v>1.4095493792600029</c:v>
                </c:pt>
                <c:pt idx="259">
                  <c:v>11.172569245510159</c:v>
                </c:pt>
                <c:pt idx="260">
                  <c:v>19.478300874372678</c:v>
                </c:pt>
                <c:pt idx="261">
                  <c:v>11.148995790500175</c:v>
                </c:pt>
                <c:pt idx="262">
                  <c:v>1.8733438464158241</c:v>
                </c:pt>
                <c:pt idx="263">
                  <c:v>115.59790366220828</c:v>
                </c:pt>
                <c:pt idx="264">
                  <c:v>2.8437702122611395</c:v>
                </c:pt>
                <c:pt idx="265">
                  <c:v>10.91798554242747</c:v>
                </c:pt>
                <c:pt idx="266">
                  <c:v>0.23094591543885032</c:v>
                </c:pt>
                <c:pt idx="267">
                  <c:v>2.8739561700328355</c:v>
                </c:pt>
                <c:pt idx="268">
                  <c:v>5.8160019556643467</c:v>
                </c:pt>
                <c:pt idx="269">
                  <c:v>12.281239415774888</c:v>
                </c:pt>
                <c:pt idx="270">
                  <c:v>9.196269395993923</c:v>
                </c:pt>
                <c:pt idx="271">
                  <c:v>20.398583204016354</c:v>
                </c:pt>
                <c:pt idx="272">
                  <c:v>17.138111079594008</c:v>
                </c:pt>
                <c:pt idx="273">
                  <c:v>12.300584427873975</c:v>
                </c:pt>
                <c:pt idx="274">
                  <c:v>4.3139114750879441</c:v>
                </c:pt>
                <c:pt idx="275">
                  <c:v>7.6957222303804995</c:v>
                </c:pt>
                <c:pt idx="276">
                  <c:v>0.83150279459654775</c:v>
                </c:pt>
                <c:pt idx="277">
                  <c:v>7.303911863395574</c:v>
                </c:pt>
                <c:pt idx="278">
                  <c:v>9.9306106203318585</c:v>
                </c:pt>
                <c:pt idx="279">
                  <c:v>1.1849011240695817E-2</c:v>
                </c:pt>
                <c:pt idx="280">
                  <c:v>3.2719376553664796</c:v>
                </c:pt>
                <c:pt idx="281">
                  <c:v>21.430756556131023</c:v>
                </c:pt>
                <c:pt idx="282">
                  <c:v>1.5205513221605358</c:v>
                </c:pt>
                <c:pt idx="283">
                  <c:v>16.464410278742296</c:v>
                </c:pt>
                <c:pt idx="284">
                  <c:v>12.704180492471888</c:v>
                </c:pt>
                <c:pt idx="285">
                  <c:v>8.7440613450994018</c:v>
                </c:pt>
                <c:pt idx="286">
                  <c:v>3.0150725526302029</c:v>
                </c:pt>
                <c:pt idx="287">
                  <c:v>5.5227820677766193</c:v>
                </c:pt>
                <c:pt idx="288">
                  <c:v>6.5274781192132565</c:v>
                </c:pt>
                <c:pt idx="289">
                  <c:v>0.66286297075444323</c:v>
                </c:pt>
                <c:pt idx="290">
                  <c:v>3.6970104933470109</c:v>
                </c:pt>
                <c:pt idx="291">
                  <c:v>2.9447630437663301</c:v>
                </c:pt>
                <c:pt idx="292">
                  <c:v>269.88305099996256</c:v>
                </c:pt>
                <c:pt idx="293">
                  <c:v>0.86546562838744368</c:v>
                </c:pt>
                <c:pt idx="294">
                  <c:v>1.8468999900419387</c:v>
                </c:pt>
                <c:pt idx="295">
                  <c:v>1.0646851152063417</c:v>
                </c:pt>
                <c:pt idx="296">
                  <c:v>1.9611633556311772</c:v>
                </c:pt>
                <c:pt idx="297">
                  <c:v>57.535046930241165</c:v>
                </c:pt>
                <c:pt idx="298">
                  <c:v>23.051969579521863</c:v>
                </c:pt>
                <c:pt idx="299">
                  <c:v>2.0609725640931744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5-40B3-B2F2-6E86C8EB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776176"/>
        <c:axId val="766759856"/>
      </c:lineChart>
      <c:catAx>
        <c:axId val="76677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6759856"/>
        <c:crosses val="autoZero"/>
        <c:auto val="1"/>
        <c:lblAlgn val="ctr"/>
        <c:lblOffset val="100"/>
        <c:noMultiLvlLbl val="0"/>
      </c:catAx>
      <c:valAx>
        <c:axId val="76675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677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Автокорреляционный</a:t>
            </a:r>
            <a:r>
              <a:rPr lang="ru-RU" baseline="0"/>
              <a:t> анализ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384492563429571"/>
          <c:y val="0.15042833187518226"/>
          <c:w val="0.87615507436570428"/>
          <c:h val="0.77736111111111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Лист1!$Z$1:$Z$10</c:f>
              <c:numCache>
                <c:formatCode>General</c:formatCode>
                <c:ptCount val="10"/>
                <c:pt idx="0">
                  <c:v>6.0900000000000003E-2</c:v>
                </c:pt>
                <c:pt idx="1">
                  <c:v>-1.5599999999999999E-2</c:v>
                </c:pt>
                <c:pt idx="2">
                  <c:v>-5.0900000000000001E-2</c:v>
                </c:pt>
                <c:pt idx="3">
                  <c:v>-7.9699999999999993E-2</c:v>
                </c:pt>
                <c:pt idx="4">
                  <c:v>0.12529999999999999</c:v>
                </c:pt>
                <c:pt idx="5">
                  <c:v>0.1787</c:v>
                </c:pt>
                <c:pt idx="6">
                  <c:v>2.1999999999999999E-2</c:v>
                </c:pt>
                <c:pt idx="7">
                  <c:v>-1.6299999999999999E-2</c:v>
                </c:pt>
                <c:pt idx="8">
                  <c:v>5.7799999999999997E-2</c:v>
                </c:pt>
                <c:pt idx="9">
                  <c:v>-7.7999999999999996E-3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42-4A71-B76E-7BFB3944C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465712"/>
        <c:axId val="943469072"/>
      </c:lineChart>
      <c:catAx>
        <c:axId val="94346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469072"/>
        <c:crosses val="autoZero"/>
        <c:auto val="1"/>
        <c:lblAlgn val="ctr"/>
        <c:lblOffset val="100"/>
        <c:noMultiLvlLbl val="0"/>
      </c:catAx>
      <c:valAx>
        <c:axId val="9434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346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Гистограмма распределения частот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Гистограмма распределения частот</a:t>
          </a:r>
        </a:p>
      </cx:txPr>
    </cx:title>
    <cx:plotArea>
      <cx:plotAreaRegion>
        <cx:series layoutId="clusteredColumn" uniqueId="{F4A1FDBC-5416-42EF-93BD-4D4168A42C9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Гистограмма распределния частот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Гистограмма распределния частот</a:t>
          </a:r>
        </a:p>
      </cx:txPr>
    </cx:title>
    <cx:plotArea>
      <cx:plotAreaRegion>
        <cx:series layoutId="clusteredColumn" uniqueId="{74F43A14-FF47-42F1-863B-E08AE98E08A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36131</xdr:colOff>
      <xdr:row>7</xdr:row>
      <xdr:rowOff>28575</xdr:rowOff>
    </xdr:from>
    <xdr:to>
      <xdr:col>16</xdr:col>
      <xdr:colOff>518948</xdr:colOff>
      <xdr:row>25</xdr:row>
      <xdr:rowOff>42862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E33C76D-6496-4324-1474-DFAC16917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236483</xdr:colOff>
      <xdr:row>29</xdr:row>
      <xdr:rowOff>4598</xdr:rowOff>
    </xdr:from>
    <xdr:to>
      <xdr:col>13</xdr:col>
      <xdr:colOff>532087</xdr:colOff>
      <xdr:row>43</xdr:row>
      <xdr:rowOff>80798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C7016EB-B8E3-B70E-0188-59A7CFBFB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596348</xdr:colOff>
      <xdr:row>45</xdr:row>
      <xdr:rowOff>124239</xdr:rowOff>
    </xdr:from>
    <xdr:to>
      <xdr:col>15</xdr:col>
      <xdr:colOff>366712</xdr:colOff>
      <xdr:row>61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Диаграмма 5">
              <a:extLst>
                <a:ext uri="{FF2B5EF4-FFF2-40B4-BE49-F238E27FC236}">
                  <a16:creationId xmlns:a16="http://schemas.microsoft.com/office/drawing/2014/main" id="{A23D0D49-E67A-7B97-55A3-36585CF280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4348" y="8696739"/>
              <a:ext cx="5866364" cy="3052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24</xdr:col>
      <xdr:colOff>408214</xdr:colOff>
      <xdr:row>15</xdr:row>
      <xdr:rowOff>23131</xdr:rowOff>
    </xdr:from>
    <xdr:to>
      <xdr:col>32</xdr:col>
      <xdr:colOff>81642</xdr:colOff>
      <xdr:row>29</xdr:row>
      <xdr:rowOff>99331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BD7CEE-A902-B08B-78E4-FA4DEE0EB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148828</xdr:colOff>
      <xdr:row>32</xdr:row>
      <xdr:rowOff>23532</xdr:rowOff>
    </xdr:from>
    <xdr:to>
      <xdr:col>34</xdr:col>
      <xdr:colOff>398859</xdr:colOff>
      <xdr:row>46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Диаграмма 3">
              <a:extLst>
                <a:ext uri="{FF2B5EF4-FFF2-40B4-BE49-F238E27FC236}">
                  <a16:creationId xmlns:a16="http://schemas.microsoft.com/office/drawing/2014/main" id="{FABED714-3F4F-0C58-4E95-3A52502520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22078" y="6119532"/>
              <a:ext cx="6322219" cy="27387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27</xdr:col>
      <xdr:colOff>28575</xdr:colOff>
      <xdr:row>0</xdr:row>
      <xdr:rowOff>42862</xdr:rowOff>
    </xdr:from>
    <xdr:to>
      <xdr:col>34</xdr:col>
      <xdr:colOff>333375</xdr:colOff>
      <xdr:row>14</xdr:row>
      <xdr:rowOff>119062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32B0470-6F2E-EE6A-7C0B-AE8F103FC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5B0B-73D5-42DF-9011-9BC3AD1BA965}">
  <dimension ref="A1:Z300"/>
  <sheetViews>
    <sheetView tabSelected="1" zoomScale="145" zoomScaleNormal="145" workbookViewId="0">
      <selection activeCell="AI14" sqref="AI14"/>
    </sheetView>
  </sheetViews>
  <sheetFormatPr defaultRowHeight="15" x14ac:dyDescent="0.25"/>
  <sheetData>
    <row r="1" spans="1:26" x14ac:dyDescent="0.25">
      <c r="A1" s="1">
        <v>61.793329121639609</v>
      </c>
      <c r="C1">
        <v>-2.43077302222391E-3</v>
      </c>
      <c r="T1" cm="1">
        <f t="array" aca="1" ref="T1:U300" ca="1">_xlfn.RANDARRAY(300, 2)</f>
        <v>0.88366906883367835</v>
      </c>
      <c r="U1">
        <f ca="1"/>
        <v>0.11966870459320611</v>
      </c>
      <c r="W1">
        <f ca="1">IF(T1&lt;0.3, 2.56435 *19.5848130689838, 0.33 *19.5848130689838) * -LN(1-U1)</f>
        <v>0.82375290945858515</v>
      </c>
      <c r="Z1">
        <v>6.0900000000000003E-2</v>
      </c>
    </row>
    <row r="2" spans="1:26" x14ac:dyDescent="0.25">
      <c r="A2" s="1">
        <v>7.6199634266240306</v>
      </c>
      <c r="C2">
        <v>-2.03044421485974E-3</v>
      </c>
      <c r="T2">
        <f ca="1"/>
        <v>0.24686339810460134</v>
      </c>
      <c r="U2">
        <f ca="1"/>
        <v>0.91116596482220258</v>
      </c>
      <c r="W2">
        <f t="shared" ref="W2:W65" ca="1" si="0">IF(T2&lt;0.3, 2.56435 *19.5848130689838, 0.33 *19.5848130689838) * -LN(1-U2)</f>
        <v>121.58749349630405</v>
      </c>
      <c r="Z2">
        <v>-1.5599999999999999E-2</v>
      </c>
    </row>
    <row r="3" spans="1:26" x14ac:dyDescent="0.25">
      <c r="A3" s="1">
        <v>2.8840364980077888</v>
      </c>
      <c r="C3">
        <v>-5.1186620444903602E-2</v>
      </c>
      <c r="L3" t="str">
        <f ca="1">_xlfn.TEXTJOIN(", ", TRUE, W1:W300)</f>
        <v>0,823752909458585, 121,587493496304, 74,2747201166571, 12,5474637262808, 2,34749891557704, 23,566395910709, 17,7086726202417, 0,0333649074019604, 11,3588033992885, 2,02725585577245, 4,85352228646983, 49,3507610641043, 17,3236974329038, 4,81706233251909, 9,19895376776591, 10,9098327182501, 0,37441789543141, 7,06226915397586, 16,723107666598, 7,16451765783251, 10,2014350962349, 4,34309789016383, 0,0601086726251809, 0,71166510583849, 6,89572384490386, 2,62113034620241, 1,20023341975862, 9,15114751312169, 10,2906269334736, 4,080366306233, 1,20130052130493, 0,34887412701479, 42,7880580281954, 5,83358539268421, 2,95497961819181, 3,65688196479626, 28,4256182574274, 16,4634621276873, 4,74071349846503, 127,201526388113, 58,4545633217701, 14,7548153866634, 2,59111924556656, 0,0651688449111244, 22,4583636127169, 3,5752815990022, 40,150607789649, 1,40320694610981, 1,1373914942325, 9,31981360718831, 9,19204232214062, 11,4170776801453, 9,71210225441382, 1,25735732747581, 7,22412629913993, 83,1766019565617, 2,42000805502885, 7,32480785900618, 2,27167590612549, 10,4400757546339, 1,13014643878816, 22,1460786783727, 5,09673499558216, 9,1810583815653, 38,7381938444316, 28,6952813476563, 4,46079169777372, 12,135358027447, 5,25743131141418, 14,1673062103317, 199,374659472343, 4,67748949967681, 3,51828181872408, 16,2088227092859, 9,61861616993738, 12,1111208122732, 21,0420726336413, 1,03829816268191, 2,88696997636136, 9,19756347671315, 2,86084957568015, 2,88092983043804, 7,01890428390204, 0,73462450372831, 16,6288376416354, 0,538516847636872, 3,70244160126515, 14,0123514108675, 39,4993797618421, 16,0398077944631, 27,8603087244396, 0,112715209905609, 4,00130679537755, 5,18118577353166, 0,309138957468089, 20,2058045693896, 15,4600367075355, 8,03025921360425, 14,3671606377529, 8,00394783662978, 13,9430807628087, 70,639712117465, 1,65448281789426, 1,70451471620745, 11,2384550582598, 30,9662411248752, 7,44109938571257, 4,86907019170817, 21,0408646456607, 10,7903319598063, 10,8118519409742, 8,80315429083779, 0,846023577443005, 0,272877160750834, 112,194897895112, 4,47795180965947, 8,45961502598326, 5,49763934262041, 2,30868618111327, 5,65828427489371, 6,20335470460164, 11,1030123242539, 15,4443365829489, 6,84358357690519, 1,71668443689065, 14,9542309526672, 2,73744135372786, 10,7485023603467, 0,0339884829162018, 99,1730268093381, 25,501826182173, 10,9459804527431, 1,35538889690473, 150,891538347351, 1,42185936541781, 15,0323437359948, 11,3764326156462, 63,2371698100883, 13,9389049192172, 3,64993979819299, 2,95437781117575, 1,968531643655, 196,139685423647, 2,95451631231558, 3,70633346775615, 7,35552629894893, 4,81185059580307, 7,06096651958793, 0,16556148777905, 0,828295278671942, 11,1761469307108, 6,90214699948813, 23,0895455462981, 0,233102116442905, 5,53860231931965, 31,7558660029273, 9,15069985379981, 23,3114973089077, 35,5032347705199, 3,63896843020577, 2,0467993087602, 2,52839757153937, 6,70728778373467, 0,301293370977549, 4,77855994131186, 10,6595163427898, 11,5205420872235, 42,7790801677105, 112,455875251414, 5,39147528227093, 0,130449827823549, 47,9998313970564, 26,026154072045, 1,94972385571906, 0,732746998381408, 3,77145839064129, 5,94411786398747, 11,7947892168496, 7,14559228814191, 11,8492190391685, 18,5656088302725, 2,73825708026329, 1,45417652160528, 20,8347115769413, 10,9245180426372, 0,0924802464386278, 9,77753441549198, 10,1768673658052, 6,85453610704417, 4,96919729500618, 12,313179409528, 14,4270702100554, 19,163259502691, 0,436813709052016, 26,2620607401931, 12,1318608474903, 39,0395253387663, 35,4439773126754, 11,09080699267, 0,694756243275358, 1,79303121791744, 6,63364077877357, 4,05957516879924, 0,168087649162308, 3,80169925534557, 7,79412348012007, 2,66408731147419, 0,370318127804723, 49,0060438134292, 4,07689779940391, 2,49195142772128, 4,61450522160209, 3,2077991068635, 3,63995633444691, 43,1397562934249, 13,3735251899518, 11,6742241823383, 13,528927533142, 5,91839796534161, 36,5701911265907, 1,70426742527981, 5,55053817879392, 12,7720376949596, 16,4963170692186, 21,5569614179003, 33,466242444142, 0,436005736267433, 8,59537892029002, 3,70622097738997, 0,449557271758934, 4,03725246178558, 6,81683416156055, 14,7942904613011, 4,21126327471107, 2,39227277417056, 6,31654486150823, 1,83811736229443, 6,38825559932518, 9,68546196905648, 16,4292230356902, 37,4110013414413, 0,650997991995438, 0,0231344030434613, 7,3003739075487, 11,1343168616892, 3,22962726879475, 29,2086324666355, 11,34094307064, 23,9235503287513, 11,6649001017073, 114,285099099163, 0,936389323711906, 1,27751136269461, 13,0267507438188, 4,59384387446841, 5,02897332756528, 2,13375747071515, 28,9538897641633, 1,40954937926, 11,1725692455102, 19,4783008743727, 11,1489957905002, 1,87334384641582, 115,597903662208, 2,84377021226114, 10,9179855424275, 0,23094591543885, 2,87395617003284, 5,81600195566435, 12,2812394157749, 9,19626939599392, 20,3985832040164, 17,138111079594, 12,300584427874, 4,31391147508794, 7,6957222303805, 0,831502794596548, 7,30391186339557, 9,93061062033186, 0,0118490112406958, 3,27193765536648, 21,430756556131, 1,52055132216054, 16,4644102787423, 12,7041804924719, 8,7440613450994, 3,0150725526302, 5,52278206777662, 6,52747811921326, 0,662862970754443, 3,69701049334701, 2,94476304376633, 269,883050999963, 0,865465628387444, 1,84689999004194, 1,06468511520634, 1,96116335563118, 57,5350469302412, 23,0519695795219, 2,06097256409317</v>
      </c>
      <c r="T3">
        <f ca="1"/>
        <v>1.9617300850961028E-2</v>
      </c>
      <c r="U3">
        <f ca="1"/>
        <v>0.77211602806775392</v>
      </c>
      <c r="W3">
        <f t="shared" ca="1" si="0"/>
        <v>74.274720116657051</v>
      </c>
      <c r="Z3">
        <v>-5.0900000000000001E-2</v>
      </c>
    </row>
    <row r="4" spans="1:26" x14ac:dyDescent="0.25">
      <c r="A4" s="1">
        <v>10.792811920745557</v>
      </c>
      <c r="C4">
        <v>-3.2491226341113899E-2</v>
      </c>
      <c r="T4">
        <f ca="1"/>
        <v>0.85323782415186034</v>
      </c>
      <c r="U4">
        <f ca="1"/>
        <v>0.85650194012793479</v>
      </c>
      <c r="W4">
        <f t="shared" ca="1" si="0"/>
        <v>12.547463726280805</v>
      </c>
      <c r="Z4">
        <v>-7.9699999999999993E-2</v>
      </c>
    </row>
    <row r="5" spans="1:26" x14ac:dyDescent="0.25">
      <c r="A5" s="1">
        <v>4.9381610051653944</v>
      </c>
      <c r="C5">
        <v>-7.2222201741917499E-2</v>
      </c>
      <c r="L5" t="s">
        <v>0</v>
      </c>
      <c r="T5">
        <f ca="1"/>
        <v>0.86208260522108948</v>
      </c>
      <c r="U5">
        <f ca="1"/>
        <v>0.30456790225941721</v>
      </c>
      <c r="W5">
        <f t="shared" ca="1" si="0"/>
        <v>2.3474989155770434</v>
      </c>
      <c r="Z5">
        <v>0.12529999999999999</v>
      </c>
    </row>
    <row r="6" spans="1:26" x14ac:dyDescent="0.25">
      <c r="A6" s="1">
        <v>11.973175538569636</v>
      </c>
      <c r="C6">
        <v>3.0227775162413598E-2</v>
      </c>
      <c r="T6">
        <f ca="1"/>
        <v>0.19624711130885064</v>
      </c>
      <c r="U6">
        <f ca="1"/>
        <v>0.37452350387797129</v>
      </c>
      <c r="W6">
        <f t="shared" ca="1" si="0"/>
        <v>23.566395910709002</v>
      </c>
      <c r="Z6">
        <v>0.1787</v>
      </c>
    </row>
    <row r="7" spans="1:26" x14ac:dyDescent="0.25">
      <c r="A7" s="1">
        <v>5.1598715815966827</v>
      </c>
      <c r="C7">
        <v>2.0829767986931601E-2</v>
      </c>
      <c r="T7">
        <f ca="1"/>
        <v>0.8237574201759712</v>
      </c>
      <c r="U7">
        <f ca="1"/>
        <v>0.93543049875423634</v>
      </c>
      <c r="W7">
        <f t="shared" ca="1" si="0"/>
        <v>17.708672620241703</v>
      </c>
      <c r="Z7">
        <v>2.1999999999999999E-2</v>
      </c>
    </row>
    <row r="8" spans="1:26" x14ac:dyDescent="0.25">
      <c r="A8" s="1">
        <v>5.7489595164778908</v>
      </c>
      <c r="C8">
        <v>2.36303683026713E-2</v>
      </c>
      <c r="T8">
        <f ca="1"/>
        <v>0.53726324020760297</v>
      </c>
      <c r="U8">
        <f ca="1"/>
        <v>5.1491556739269306E-3</v>
      </c>
      <c r="W8">
        <f t="shared" ca="1" si="0"/>
        <v>3.3364907401960443E-2</v>
      </c>
      <c r="Z8">
        <v>-1.6299999999999999E-2</v>
      </c>
    </row>
    <row r="9" spans="1:26" x14ac:dyDescent="0.25">
      <c r="A9" s="1">
        <v>4.970428689079136</v>
      </c>
      <c r="C9">
        <v>2.1524398881340199E-2</v>
      </c>
      <c r="T9">
        <f ca="1"/>
        <v>0.92907192254360926</v>
      </c>
      <c r="U9">
        <f ca="1"/>
        <v>0.82752719299096977</v>
      </c>
      <c r="W9">
        <f t="shared" ca="1" si="0"/>
        <v>11.358803399288524</v>
      </c>
      <c r="Z9">
        <v>5.7799999999999997E-2</v>
      </c>
    </row>
    <row r="10" spans="1:26" x14ac:dyDescent="0.25">
      <c r="A10" s="1">
        <v>10.570134002660886</v>
      </c>
      <c r="C10">
        <v>0.144806004576574</v>
      </c>
      <c r="T10">
        <f ca="1"/>
        <v>0.52891809143937896</v>
      </c>
      <c r="U10">
        <f ca="1"/>
        <v>0.26924102670811512</v>
      </c>
      <c r="W10">
        <f t="shared" ca="1" si="0"/>
        <v>2.0272558557724483</v>
      </c>
      <c r="Z10">
        <v>-7.7999999999999996E-3</v>
      </c>
    </row>
    <row r="11" spans="1:26" x14ac:dyDescent="0.25">
      <c r="A11" s="1">
        <v>62.527735800155568</v>
      </c>
      <c r="T11">
        <f ca="1"/>
        <v>0.44655043996690136</v>
      </c>
      <c r="U11">
        <f ca="1"/>
        <v>0.52809229345157749</v>
      </c>
      <c r="W11">
        <f t="shared" ca="1" si="0"/>
        <v>4.8535222864698326</v>
      </c>
    </row>
    <row r="12" spans="1:26" x14ac:dyDescent="0.25">
      <c r="A12" s="1">
        <v>1.6158650343042382</v>
      </c>
      <c r="T12">
        <f ca="1"/>
        <v>0.13949523495120086</v>
      </c>
      <c r="U12">
        <f ca="1"/>
        <v>0.62568068945386801</v>
      </c>
      <c r="W12">
        <f t="shared" ca="1" si="0"/>
        <v>49.350761064104304</v>
      </c>
    </row>
    <row r="13" spans="1:26" x14ac:dyDescent="0.25">
      <c r="A13" s="1">
        <v>28.821628399442819</v>
      </c>
      <c r="T13">
        <f ca="1"/>
        <v>4.7272279512480253E-3</v>
      </c>
      <c r="U13">
        <f ca="1"/>
        <v>0.29173732071801761</v>
      </c>
      <c r="W13">
        <f t="shared" ca="1" si="0"/>
        <v>17.323697432903764</v>
      </c>
    </row>
    <row r="14" spans="1:26" x14ac:dyDescent="0.25">
      <c r="A14" s="1">
        <v>5.9296266798627872</v>
      </c>
      <c r="T14">
        <f ca="1"/>
        <v>0.49206963720241115</v>
      </c>
      <c r="U14">
        <f ca="1"/>
        <v>0.52542257542746595</v>
      </c>
      <c r="W14">
        <f t="shared" ca="1" si="0"/>
        <v>4.8170623325190851</v>
      </c>
    </row>
    <row r="15" spans="1:26" x14ac:dyDescent="0.25">
      <c r="A15" s="1">
        <v>6.8546309672291637</v>
      </c>
      <c r="T15">
        <f ca="1"/>
        <v>0.40848752594211524</v>
      </c>
      <c r="U15">
        <f ca="1"/>
        <v>0.75908912762254177</v>
      </c>
      <c r="W15">
        <f t="shared" ca="1" si="0"/>
        <v>9.1989537677659055</v>
      </c>
    </row>
    <row r="16" spans="1:26" x14ac:dyDescent="0.25">
      <c r="A16" s="1">
        <v>6.8384475370813336</v>
      </c>
      <c r="T16">
        <f ca="1"/>
        <v>0.87448079011451552</v>
      </c>
      <c r="U16">
        <f ca="1"/>
        <v>0.81511989129289364</v>
      </c>
      <c r="W16">
        <f t="shared" ca="1" si="0"/>
        <v>10.909832718250142</v>
      </c>
    </row>
    <row r="17" spans="1:23" x14ac:dyDescent="0.25">
      <c r="A17" s="1">
        <v>8.8714544986597126</v>
      </c>
      <c r="T17">
        <f ca="1"/>
        <v>0.66706021759820522</v>
      </c>
      <c r="U17">
        <f ca="1"/>
        <v>5.6286474507238005E-2</v>
      </c>
      <c r="W17">
        <f t="shared" ca="1" si="0"/>
        <v>0.37441789543140985</v>
      </c>
    </row>
    <row r="18" spans="1:23" x14ac:dyDescent="0.25">
      <c r="A18" s="1">
        <v>9.1084710180224491</v>
      </c>
      <c r="T18">
        <f ca="1"/>
        <v>0.74600281462186047</v>
      </c>
      <c r="U18">
        <f ca="1"/>
        <v>0.66469846202832761</v>
      </c>
      <c r="W18">
        <f t="shared" ca="1" si="0"/>
        <v>7.0622691539758566</v>
      </c>
    </row>
    <row r="19" spans="1:23" x14ac:dyDescent="0.25">
      <c r="A19" s="1">
        <v>12.098529945491023</v>
      </c>
      <c r="T19">
        <f ca="1"/>
        <v>0.28027504868897424</v>
      </c>
      <c r="U19">
        <f ca="1"/>
        <v>0.2832166275869874</v>
      </c>
      <c r="W19">
        <f t="shared" ca="1" si="0"/>
        <v>16.723107666597997</v>
      </c>
    </row>
    <row r="20" spans="1:23" x14ac:dyDescent="0.25">
      <c r="A20" s="1">
        <v>9.9714924811632848</v>
      </c>
      <c r="T20">
        <f ca="1"/>
        <v>0.87835901795006333</v>
      </c>
      <c r="U20">
        <f ca="1"/>
        <v>0.66996140011874084</v>
      </c>
      <c r="W20">
        <f t="shared" ca="1" si="0"/>
        <v>7.1645176578325076</v>
      </c>
    </row>
    <row r="21" spans="1:23" x14ac:dyDescent="0.25">
      <c r="A21" s="1">
        <v>11.082737591155176</v>
      </c>
      <c r="T21">
        <f ca="1"/>
        <v>0.2656412373903112</v>
      </c>
      <c r="U21">
        <f ca="1"/>
        <v>0.18382423034361794</v>
      </c>
      <c r="W21">
        <f t="shared" ca="1" si="0"/>
        <v>10.201435096234908</v>
      </c>
    </row>
    <row r="22" spans="1:23" x14ac:dyDescent="0.25">
      <c r="A22" s="1">
        <v>132.46458162053068</v>
      </c>
      <c r="T22">
        <f ca="1"/>
        <v>0.53527899993619976</v>
      </c>
      <c r="U22">
        <f ca="1"/>
        <v>0.48931142588765231</v>
      </c>
      <c r="W22">
        <f t="shared" ca="1" si="0"/>
        <v>4.34309789016383</v>
      </c>
    </row>
    <row r="23" spans="1:23" x14ac:dyDescent="0.25">
      <c r="A23" s="1">
        <v>9.3490258848570633</v>
      </c>
      <c r="T23">
        <f ca="1"/>
        <v>0.33894338556180403</v>
      </c>
      <c r="U23">
        <f ca="1"/>
        <v>9.2573304393961386E-3</v>
      </c>
      <c r="W23">
        <f t="shared" ca="1" si="0"/>
        <v>6.0108672625180874E-2</v>
      </c>
    </row>
    <row r="24" spans="1:23" x14ac:dyDescent="0.25">
      <c r="A24" s="1">
        <v>9.5790379522111717</v>
      </c>
      <c r="T24">
        <f ca="1"/>
        <v>0.96449684365689747</v>
      </c>
      <c r="U24">
        <f ca="1"/>
        <v>0.10426793002855117</v>
      </c>
      <c r="W24">
        <f t="shared" ca="1" si="0"/>
        <v>0.71166510583849008</v>
      </c>
    </row>
    <row r="25" spans="1:23" x14ac:dyDescent="0.25">
      <c r="A25" s="1">
        <v>9.861102948027975</v>
      </c>
      <c r="T25">
        <f ca="1"/>
        <v>0.32153066502038241</v>
      </c>
      <c r="U25">
        <f ca="1"/>
        <v>0.65594575721310955</v>
      </c>
      <c r="W25">
        <f t="shared" ca="1" si="0"/>
        <v>6.8957238449038627</v>
      </c>
    </row>
    <row r="26" spans="1:23" x14ac:dyDescent="0.25">
      <c r="A26" s="1">
        <v>11.754452781842977</v>
      </c>
      <c r="T26">
        <f ca="1"/>
        <v>0.76762163050814225</v>
      </c>
      <c r="U26">
        <f ca="1"/>
        <v>0.33339667473334411</v>
      </c>
      <c r="W26">
        <f t="shared" ca="1" si="0"/>
        <v>2.6211303462024111</v>
      </c>
    </row>
    <row r="27" spans="1:23" x14ac:dyDescent="0.25">
      <c r="A27" s="1">
        <v>57.349129920077317</v>
      </c>
      <c r="T27">
        <f ca="1"/>
        <v>0.94873372215762375</v>
      </c>
      <c r="U27">
        <f ca="1"/>
        <v>0.16948454476784769</v>
      </c>
      <c r="W27">
        <f t="shared" ca="1" si="0"/>
        <v>1.200233419758624</v>
      </c>
    </row>
    <row r="28" spans="1:23" x14ac:dyDescent="0.25">
      <c r="A28" s="1">
        <v>3.1545624492721629</v>
      </c>
      <c r="T28">
        <f ca="1"/>
        <v>0.88136973393000795</v>
      </c>
      <c r="U28">
        <f ca="1"/>
        <v>0.75730052047220586</v>
      </c>
      <c r="W28">
        <f t="shared" ca="1" si="0"/>
        <v>9.1511475131216891</v>
      </c>
    </row>
    <row r="29" spans="1:23" x14ac:dyDescent="0.25">
      <c r="A29" s="1">
        <v>9.4963018215921835</v>
      </c>
      <c r="T29">
        <f ca="1"/>
        <v>0.25226856051458779</v>
      </c>
      <c r="U29">
        <f ca="1"/>
        <v>0.18527242350665762</v>
      </c>
      <c r="W29">
        <f t="shared" ca="1" si="0"/>
        <v>10.290626933473572</v>
      </c>
    </row>
    <row r="30" spans="1:23" x14ac:dyDescent="0.25">
      <c r="A30" s="1">
        <v>3.8204897897603018</v>
      </c>
      <c r="T30">
        <f ca="1"/>
        <v>0.87898343498087295</v>
      </c>
      <c r="U30">
        <f ca="1"/>
        <v>0.4681233086617389</v>
      </c>
      <c r="W30">
        <f t="shared" ca="1" si="0"/>
        <v>4.0803663062330022</v>
      </c>
    </row>
    <row r="31" spans="1:23" x14ac:dyDescent="0.25">
      <c r="A31" s="1">
        <v>2.8861930141005878</v>
      </c>
      <c r="T31">
        <f ca="1"/>
        <v>0.41747386576073509</v>
      </c>
      <c r="U31">
        <f ca="1"/>
        <v>0.16962165953951636</v>
      </c>
      <c r="W31">
        <f t="shared" ca="1" si="0"/>
        <v>1.2013005213049279</v>
      </c>
    </row>
    <row r="32" spans="1:23" x14ac:dyDescent="0.25">
      <c r="A32" s="1">
        <v>35.972977504063152</v>
      </c>
      <c r="T32">
        <f ca="1"/>
        <v>0.56129722190853903</v>
      </c>
      <c r="U32">
        <f ca="1"/>
        <v>5.2549240482278048E-2</v>
      </c>
      <c r="W32">
        <f t="shared" ca="1" si="0"/>
        <v>0.34887412701479009</v>
      </c>
    </row>
    <row r="33" spans="1:23" x14ac:dyDescent="0.25">
      <c r="A33" s="1">
        <v>109.0282687826879</v>
      </c>
      <c r="T33">
        <f ca="1"/>
        <v>9.0285539466259834E-2</v>
      </c>
      <c r="U33">
        <f ca="1"/>
        <v>0.57342753752698461</v>
      </c>
      <c r="W33">
        <f t="shared" ca="1" si="0"/>
        <v>42.788058028195415</v>
      </c>
    </row>
    <row r="34" spans="1:23" x14ac:dyDescent="0.25">
      <c r="A34" s="1">
        <v>8.5836500836051801</v>
      </c>
      <c r="T34">
        <f ca="1"/>
        <v>0.32936332350095943</v>
      </c>
      <c r="U34">
        <f ca="1"/>
        <v>0.5944918296527788</v>
      </c>
      <c r="W34">
        <f t="shared" ca="1" si="0"/>
        <v>5.8335853926842134</v>
      </c>
    </row>
    <row r="35" spans="1:23" x14ac:dyDescent="0.25">
      <c r="A35" s="1">
        <v>3.1454389618464065</v>
      </c>
      <c r="T35">
        <f ca="1"/>
        <v>0.5128267216483986</v>
      </c>
      <c r="U35">
        <f ca="1"/>
        <v>0.36695621169585713</v>
      </c>
      <c r="W35">
        <f t="shared" ca="1" si="0"/>
        <v>2.95497961819181</v>
      </c>
    </row>
    <row r="36" spans="1:23" x14ac:dyDescent="0.25">
      <c r="A36" s="1">
        <v>4.4756985767431097</v>
      </c>
      <c r="T36">
        <f ca="1"/>
        <v>0.983335732745098</v>
      </c>
      <c r="U36">
        <f ca="1"/>
        <v>0.43210518308555312</v>
      </c>
      <c r="W36">
        <f t="shared" ca="1" si="0"/>
        <v>3.6568819647962636</v>
      </c>
    </row>
    <row r="37" spans="1:23" x14ac:dyDescent="0.25">
      <c r="A37" s="1">
        <v>38.136124222051734</v>
      </c>
      <c r="T37">
        <f ca="1"/>
        <v>0.28971252281905491</v>
      </c>
      <c r="U37">
        <f ca="1"/>
        <v>0.43220552963131253</v>
      </c>
      <c r="W37">
        <f t="shared" ca="1" si="0"/>
        <v>28.425618257427352</v>
      </c>
    </row>
    <row r="38" spans="1:23" x14ac:dyDescent="0.25">
      <c r="A38" s="1">
        <v>9.6158536908665226</v>
      </c>
      <c r="T38">
        <f ca="1"/>
        <v>0.17288063036052836</v>
      </c>
      <c r="U38">
        <f ca="1"/>
        <v>0.2795013165760869</v>
      </c>
      <c r="W38">
        <f t="shared" ca="1" si="0"/>
        <v>16.463462127687261</v>
      </c>
    </row>
    <row r="39" spans="1:23" x14ac:dyDescent="0.25">
      <c r="A39" s="1">
        <v>31.883198937249823</v>
      </c>
      <c r="T39">
        <f ca="1"/>
        <v>0.90657566898208697</v>
      </c>
      <c r="U39">
        <f ca="1"/>
        <v>0.51978303321626318</v>
      </c>
      <c r="W39">
        <f t="shared" ca="1" si="0"/>
        <v>4.7407134984650297</v>
      </c>
    </row>
    <row r="40" spans="1:23" x14ac:dyDescent="0.25">
      <c r="A40" s="1">
        <v>47.886078888786628</v>
      </c>
      <c r="T40">
        <f ca="1"/>
        <v>3.6511689531753433E-2</v>
      </c>
      <c r="U40">
        <f ca="1"/>
        <v>0.92056125494584018</v>
      </c>
      <c r="W40">
        <f t="shared" ca="1" si="0"/>
        <v>127.20152638811317</v>
      </c>
    </row>
    <row r="41" spans="1:23" x14ac:dyDescent="0.25">
      <c r="A41" s="1">
        <v>30.900963164493803</v>
      </c>
      <c r="T41">
        <f ca="1"/>
        <v>3.7133421698864799E-2</v>
      </c>
      <c r="U41">
        <f ca="1"/>
        <v>0.68773907323844341</v>
      </c>
      <c r="W41">
        <f t="shared" ca="1" si="0"/>
        <v>58.454563321770053</v>
      </c>
    </row>
    <row r="42" spans="1:23" x14ac:dyDescent="0.25">
      <c r="A42" s="1">
        <v>2.2954528257096527</v>
      </c>
      <c r="T42">
        <f ca="1"/>
        <v>0.38620022388935005</v>
      </c>
      <c r="U42">
        <f ca="1"/>
        <v>0.89801923650129112</v>
      </c>
      <c r="W42">
        <f t="shared" ca="1" si="0"/>
        <v>14.754815386663362</v>
      </c>
    </row>
    <row r="43" spans="1:23" x14ac:dyDescent="0.25">
      <c r="A43" s="1">
        <v>158.7656724075452</v>
      </c>
      <c r="T43">
        <f ca="1"/>
        <v>0.31450085819526574</v>
      </c>
      <c r="U43">
        <f ca="1"/>
        <v>0.33029408215749401</v>
      </c>
      <c r="W43">
        <f t="shared" ca="1" si="0"/>
        <v>2.5911192455665613</v>
      </c>
    </row>
    <row r="44" spans="1:23" x14ac:dyDescent="0.25">
      <c r="A44" s="1">
        <v>5.3552004184979032E-2</v>
      </c>
      <c r="T44">
        <f ca="1"/>
        <v>0.54739820908231684</v>
      </c>
      <c r="U44">
        <f ca="1"/>
        <v>1.0032725084295757E-2</v>
      </c>
      <c r="W44">
        <f t="shared" ca="1" si="0"/>
        <v>6.516884491112436E-2</v>
      </c>
    </row>
    <row r="45" spans="1:23" x14ac:dyDescent="0.25">
      <c r="A45" s="1">
        <v>11.706209219706437</v>
      </c>
      <c r="T45">
        <f ca="1"/>
        <v>0.93882043883372224</v>
      </c>
      <c r="U45">
        <f ca="1"/>
        <v>0.96903567123620848</v>
      </c>
      <c r="W45">
        <f t="shared" ca="1" si="0"/>
        <v>22.458363612716855</v>
      </c>
    </row>
    <row r="46" spans="1:23" x14ac:dyDescent="0.25">
      <c r="A46" s="1">
        <v>2.07322548653047</v>
      </c>
      <c r="T46">
        <f ca="1"/>
        <v>0.44104009029194868</v>
      </c>
      <c r="U46">
        <f ca="1"/>
        <v>0.42488960416476895</v>
      </c>
      <c r="W46">
        <f t="shared" ca="1" si="0"/>
        <v>3.5752815990021958</v>
      </c>
    </row>
    <row r="47" spans="1:23" x14ac:dyDescent="0.25">
      <c r="A47" s="1">
        <v>10.947159568373808</v>
      </c>
      <c r="T47">
        <f ca="1"/>
        <v>0.27844976674469035</v>
      </c>
      <c r="U47">
        <f ca="1"/>
        <v>0.55042721846428311</v>
      </c>
      <c r="W47">
        <f t="shared" ca="1" si="0"/>
        <v>40.150607789648994</v>
      </c>
    </row>
    <row r="48" spans="1:23" x14ac:dyDescent="0.25">
      <c r="A48" s="1">
        <v>2.9408948712925902</v>
      </c>
      <c r="T48">
        <f ca="1"/>
        <v>0.8534607128508378</v>
      </c>
      <c r="U48">
        <f ca="1"/>
        <v>0.19516199937862466</v>
      </c>
      <c r="W48">
        <f t="shared" ca="1" si="0"/>
        <v>1.4032069461098142</v>
      </c>
    </row>
    <row r="49" spans="1:23" x14ac:dyDescent="0.25">
      <c r="A49" s="1">
        <v>64.116871917143726</v>
      </c>
      <c r="T49">
        <f ca="1"/>
        <v>0.36567923554122683</v>
      </c>
      <c r="U49">
        <f ca="1"/>
        <v>0.16136976117847901</v>
      </c>
      <c r="W49">
        <f t="shared" ca="1" si="0"/>
        <v>1.1373914942324999</v>
      </c>
    </row>
    <row r="50" spans="1:23" x14ac:dyDescent="0.25">
      <c r="A50" s="1">
        <v>1.2235584469705618</v>
      </c>
      <c r="T50">
        <f ca="1"/>
        <v>0.16082440288903421</v>
      </c>
      <c r="U50">
        <f ca="1"/>
        <v>0.16937027879318589</v>
      </c>
      <c r="W50">
        <f t="shared" ca="1" si="0"/>
        <v>9.319813607188312</v>
      </c>
    </row>
    <row r="51" spans="1:23" x14ac:dyDescent="0.25">
      <c r="A51" s="1">
        <v>6.9488283659174161</v>
      </c>
      <c r="T51">
        <f ca="1"/>
        <v>0.61070781659871765</v>
      </c>
      <c r="U51">
        <f ca="1"/>
        <v>0.75883136249588157</v>
      </c>
      <c r="W51">
        <f t="shared" ca="1" si="0"/>
        <v>9.1920423221406207</v>
      </c>
    </row>
    <row r="52" spans="1:23" x14ac:dyDescent="0.25">
      <c r="A52" s="1">
        <v>8.0698640245107303</v>
      </c>
      <c r="T52">
        <f ca="1"/>
        <v>0.49834498593685073</v>
      </c>
      <c r="U52">
        <f ca="1"/>
        <v>0.82907532404316076</v>
      </c>
      <c r="W52">
        <f t="shared" ca="1" si="0"/>
        <v>11.417077680145292</v>
      </c>
    </row>
    <row r="53" spans="1:23" x14ac:dyDescent="0.25">
      <c r="A53" s="1">
        <v>7.9547724868910006</v>
      </c>
      <c r="T53">
        <f ca="1"/>
        <v>0.39566071170479122</v>
      </c>
      <c r="U53">
        <f ca="1"/>
        <v>0.77747732218520249</v>
      </c>
      <c r="W53">
        <f t="shared" ca="1" si="0"/>
        <v>9.712102254413816</v>
      </c>
    </row>
    <row r="54" spans="1:23" x14ac:dyDescent="0.25">
      <c r="A54" s="1">
        <v>14.973076434016548</v>
      </c>
      <c r="T54">
        <f ca="1"/>
        <v>0.33066267757278966</v>
      </c>
      <c r="U54">
        <f ca="1"/>
        <v>0.17679281148087789</v>
      </c>
      <c r="W54">
        <f t="shared" ca="1" si="0"/>
        <v>1.2573573274758079</v>
      </c>
    </row>
    <row r="55" spans="1:23" x14ac:dyDescent="0.25">
      <c r="A55" s="1">
        <v>3.6971036917116344</v>
      </c>
      <c r="T55">
        <f ca="1"/>
        <v>0.14143438993608148</v>
      </c>
      <c r="U55">
        <f ca="1"/>
        <v>0.13397625871437913</v>
      </c>
      <c r="W55">
        <f t="shared" ca="1" si="0"/>
        <v>7.2241262991399289</v>
      </c>
    </row>
    <row r="56" spans="1:23" x14ac:dyDescent="0.25">
      <c r="A56" s="1">
        <v>29.292182518843251</v>
      </c>
      <c r="T56">
        <f ca="1"/>
        <v>0.24197371470267171</v>
      </c>
      <c r="U56">
        <f ca="1"/>
        <v>0.8091310487260075</v>
      </c>
      <c r="W56">
        <f t="shared" ca="1" si="0"/>
        <v>83.176601956561711</v>
      </c>
    </row>
    <row r="57" spans="1:23" x14ac:dyDescent="0.25">
      <c r="A57" s="1">
        <v>7.5899132174691655</v>
      </c>
      <c r="T57">
        <f ca="1"/>
        <v>0.35106250426642083</v>
      </c>
      <c r="U57">
        <f ca="1"/>
        <v>0.31232644550962863</v>
      </c>
      <c r="W57">
        <f t="shared" ca="1" si="0"/>
        <v>2.4200080550288505</v>
      </c>
    </row>
    <row r="58" spans="1:23" x14ac:dyDescent="0.25">
      <c r="A58" s="1">
        <v>63.730657022168259</v>
      </c>
      <c r="T58">
        <f ca="1"/>
        <v>0.31733296975409475</v>
      </c>
      <c r="U58">
        <f ca="1"/>
        <v>0.6780461008165044</v>
      </c>
      <c r="W58">
        <f t="shared" ca="1" si="0"/>
        <v>7.3248078590061763</v>
      </c>
    </row>
    <row r="59" spans="1:23" x14ac:dyDescent="0.25">
      <c r="A59" s="1">
        <v>49.855847248160302</v>
      </c>
      <c r="T59">
        <f ca="1"/>
        <v>0.86259731457580435</v>
      </c>
      <c r="U59">
        <f ca="1"/>
        <v>0.29636112936972014</v>
      </c>
      <c r="W59">
        <f t="shared" ca="1" si="0"/>
        <v>2.2716759061254947</v>
      </c>
    </row>
    <row r="60" spans="1:23" x14ac:dyDescent="0.25">
      <c r="A60" s="1">
        <v>4.1054550326262547</v>
      </c>
      <c r="T60">
        <f ca="1"/>
        <v>5.4419770444184667E-2</v>
      </c>
      <c r="U60">
        <f ca="1"/>
        <v>0.18769324164292023</v>
      </c>
      <c r="W60">
        <f t="shared" ca="1" si="0"/>
        <v>10.440075754633913</v>
      </c>
    </row>
    <row r="61" spans="1:23" x14ac:dyDescent="0.25">
      <c r="A61" s="1">
        <v>9.5830621695844425</v>
      </c>
      <c r="T61">
        <f ca="1"/>
        <v>0.92377719768827338</v>
      </c>
      <c r="U61">
        <f ca="1"/>
        <v>0.16042912363864592</v>
      </c>
      <c r="W61">
        <f t="shared" ca="1" si="0"/>
        <v>1.1301464387881619</v>
      </c>
    </row>
    <row r="62" spans="1:23" x14ac:dyDescent="0.25">
      <c r="A62" s="1">
        <v>7.4658910375896674</v>
      </c>
      <c r="T62">
        <f ca="1"/>
        <v>0.22460886190287854</v>
      </c>
      <c r="U62">
        <f ca="1"/>
        <v>0.3565821527096491</v>
      </c>
      <c r="W62">
        <f t="shared" ca="1" si="0"/>
        <v>22.146078678372707</v>
      </c>
    </row>
    <row r="63" spans="1:23" x14ac:dyDescent="0.25">
      <c r="A63" s="1">
        <v>6.4301370583717521</v>
      </c>
      <c r="T63">
        <f ca="1"/>
        <v>0.3742172702270703</v>
      </c>
      <c r="U63">
        <f ca="1"/>
        <v>0.54552095305877679</v>
      </c>
      <c r="W63">
        <f t="shared" ca="1" si="0"/>
        <v>5.096734995582155</v>
      </c>
    </row>
    <row r="64" spans="1:23" x14ac:dyDescent="0.25">
      <c r="A64" s="1">
        <v>13.77153327304381</v>
      </c>
      <c r="T64">
        <f ca="1"/>
        <v>0.87322302347981551</v>
      </c>
      <c r="U64">
        <f ca="1"/>
        <v>0.75842114447881359</v>
      </c>
      <c r="W64">
        <f t="shared" ca="1" si="0"/>
        <v>9.181058381565304</v>
      </c>
    </row>
    <row r="65" spans="1:23" x14ac:dyDescent="0.25">
      <c r="A65" s="1">
        <v>8.4609394355784691</v>
      </c>
      <c r="T65">
        <f ca="1"/>
        <v>0.29025356764249666</v>
      </c>
      <c r="U65">
        <f ca="1"/>
        <v>0.53760431211605186</v>
      </c>
      <c r="W65">
        <f t="shared" ca="1" si="0"/>
        <v>38.738193844431613</v>
      </c>
    </row>
    <row r="66" spans="1:23" x14ac:dyDescent="0.25">
      <c r="A66" s="1">
        <v>8.4119489207109979</v>
      </c>
      <c r="T66">
        <f ca="1"/>
        <v>7.6911299352675266E-2</v>
      </c>
      <c r="U66">
        <f ca="1"/>
        <v>0.43524606814332722</v>
      </c>
      <c r="W66">
        <f t="shared" ref="W66:W129" ca="1" si="1">IF(T66&lt;0.3, 2.56435 *19.5848130689838, 0.33 *19.5848130689838) * -LN(1-U66)</f>
        <v>28.695281347656309</v>
      </c>
    </row>
    <row r="67" spans="1:23" x14ac:dyDescent="0.25">
      <c r="A67" s="1">
        <v>4.8332983580954636</v>
      </c>
      <c r="T67">
        <f ca="1"/>
        <v>0.91817278541054148</v>
      </c>
      <c r="U67">
        <f ca="1"/>
        <v>0.49852711975880992</v>
      </c>
      <c r="W67">
        <f t="shared" ca="1" si="1"/>
        <v>4.4607916977737174</v>
      </c>
    </row>
    <row r="68" spans="1:23" x14ac:dyDescent="0.25">
      <c r="A68" s="1">
        <v>4.5695426713763023</v>
      </c>
      <c r="T68">
        <f ca="1"/>
        <v>0.57481038498333104</v>
      </c>
      <c r="U68">
        <f ca="1"/>
        <v>0.84705391548460685</v>
      </c>
      <c r="W68">
        <f t="shared" ca="1" si="1"/>
        <v>12.135358027446985</v>
      </c>
    </row>
    <row r="69" spans="1:23" x14ac:dyDescent="0.25">
      <c r="A69" s="1">
        <v>3.411503624240356</v>
      </c>
      <c r="T69">
        <f ca="1"/>
        <v>0.95334946041220747</v>
      </c>
      <c r="U69">
        <f ca="1"/>
        <v>0.55668183293421958</v>
      </c>
      <c r="W69">
        <f t="shared" ca="1" si="1"/>
        <v>5.2574313114141775</v>
      </c>
    </row>
    <row r="70" spans="1:23" x14ac:dyDescent="0.25">
      <c r="A70" s="1">
        <v>0.68916522986802331</v>
      </c>
      <c r="T70">
        <f ca="1"/>
        <v>0.87124200084784054</v>
      </c>
      <c r="U70">
        <f ca="1"/>
        <v>0.88831439291890146</v>
      </c>
      <c r="W70">
        <f t="shared" ca="1" si="1"/>
        <v>14.167306210331688</v>
      </c>
    </row>
    <row r="71" spans="1:23" x14ac:dyDescent="0.25">
      <c r="A71" s="1">
        <v>5.3642550863770673</v>
      </c>
      <c r="T71">
        <f ca="1"/>
        <v>0.23871819176076059</v>
      </c>
      <c r="U71">
        <f ca="1"/>
        <v>0.98112358556127277</v>
      </c>
      <c r="W71">
        <f t="shared" ca="1" si="1"/>
        <v>199.37465947234347</v>
      </c>
    </row>
    <row r="72" spans="1:23" x14ac:dyDescent="0.25">
      <c r="A72" s="1">
        <v>196.13992689619764</v>
      </c>
      <c r="T72">
        <f ca="1"/>
        <v>0.43391358661512158</v>
      </c>
      <c r="U72">
        <f ca="1"/>
        <v>0.5150622717281661</v>
      </c>
      <c r="W72">
        <f t="shared" ca="1" si="1"/>
        <v>4.6774894996768088</v>
      </c>
    </row>
    <row r="73" spans="1:23" x14ac:dyDescent="0.25">
      <c r="A73" s="1">
        <v>0.38594630005476338</v>
      </c>
      <c r="T73">
        <f ca="1"/>
        <v>0.94349046593668251</v>
      </c>
      <c r="U73">
        <f ca="1"/>
        <v>0.41979503399486617</v>
      </c>
      <c r="W73">
        <f t="shared" ca="1" si="1"/>
        <v>3.5182818187240774</v>
      </c>
    </row>
    <row r="74" spans="1:23" x14ac:dyDescent="0.25">
      <c r="A74" s="1">
        <v>10.192802990438745</v>
      </c>
      <c r="T74">
        <f ca="1"/>
        <v>0.61499986214040936</v>
      </c>
      <c r="U74">
        <f ca="1"/>
        <v>0.91856462672578898</v>
      </c>
      <c r="W74">
        <f t="shared" ca="1" si="1"/>
        <v>16.20882270928589</v>
      </c>
    </row>
    <row r="75" spans="1:23" x14ac:dyDescent="0.25">
      <c r="A75" s="1">
        <v>12.857513800568267</v>
      </c>
      <c r="T75">
        <f ca="1"/>
        <v>0.22836427969201134</v>
      </c>
      <c r="U75">
        <f ca="1"/>
        <v>0.17429751923334424</v>
      </c>
      <c r="W75">
        <f t="shared" ca="1" si="1"/>
        <v>9.6186161699373844</v>
      </c>
    </row>
    <row r="76" spans="1:23" x14ac:dyDescent="0.25">
      <c r="A76" s="1">
        <v>7.0951301216559903</v>
      </c>
      <c r="T76">
        <f ca="1"/>
        <v>0.62867377815138181</v>
      </c>
      <c r="U76">
        <f ca="1"/>
        <v>0.8464792669523673</v>
      </c>
      <c r="W76">
        <f t="shared" ca="1" si="1"/>
        <v>12.111120812273173</v>
      </c>
    </row>
    <row r="77" spans="1:23" x14ac:dyDescent="0.25">
      <c r="A77" s="1">
        <v>20.001383374064861</v>
      </c>
      <c r="T77">
        <f ca="1"/>
        <v>6.1379977042563816E-2</v>
      </c>
      <c r="U77">
        <f ca="1"/>
        <v>0.34228169358395899</v>
      </c>
      <c r="W77">
        <f t="shared" ca="1" si="1"/>
        <v>21.042072633641286</v>
      </c>
    </row>
    <row r="78" spans="1:23" x14ac:dyDescent="0.25">
      <c r="A78" s="1">
        <v>2.4692892444058758</v>
      </c>
      <c r="T78">
        <f ca="1"/>
        <v>0.99375913048839859</v>
      </c>
      <c r="U78">
        <f ca="1"/>
        <v>0.14841243992502462</v>
      </c>
      <c r="W78">
        <f t="shared" ca="1" si="1"/>
        <v>1.0382981626819112</v>
      </c>
    </row>
    <row r="79" spans="1:23" x14ac:dyDescent="0.25">
      <c r="A79" s="1">
        <v>34.184805841843733</v>
      </c>
      <c r="T79">
        <f ca="1"/>
        <v>0.40468648241260374</v>
      </c>
      <c r="U79">
        <f ca="1"/>
        <v>0.36025955708743229</v>
      </c>
      <c r="W79">
        <f t="shared" ca="1" si="1"/>
        <v>2.8869699763613612</v>
      </c>
    </row>
    <row r="80" spans="1:23" x14ac:dyDescent="0.25">
      <c r="A80" s="1">
        <v>6.264041992317896</v>
      </c>
      <c r="T80">
        <f ca="1"/>
        <v>0.79337871703843699</v>
      </c>
      <c r="U80">
        <f ca="1"/>
        <v>0.75903729830740252</v>
      </c>
      <c r="W80">
        <f t="shared" ca="1" si="1"/>
        <v>9.197563476713146</v>
      </c>
    </row>
    <row r="81" spans="1:23" x14ac:dyDescent="0.25">
      <c r="A81" s="1">
        <v>9.1386491699144621</v>
      </c>
      <c r="T81">
        <f ca="1"/>
        <v>6.6030704543178276E-2</v>
      </c>
      <c r="U81">
        <f ca="1"/>
        <v>5.5371653816466804E-2</v>
      </c>
      <c r="W81">
        <f t="shared" ca="1" si="1"/>
        <v>2.8608495756801462</v>
      </c>
    </row>
    <row r="82" spans="1:23" x14ac:dyDescent="0.25">
      <c r="A82" s="1">
        <v>8.2337262099452033</v>
      </c>
      <c r="T82">
        <f ca="1"/>
        <v>0.37343893628075886</v>
      </c>
      <c r="U82">
        <f ca="1"/>
        <v>0.35966139232819239</v>
      </c>
      <c r="W82">
        <f t="shared" ca="1" si="1"/>
        <v>2.8809298304380366</v>
      </c>
    </row>
    <row r="83" spans="1:23" x14ac:dyDescent="0.25">
      <c r="A83" s="1">
        <v>7.5221177144012152</v>
      </c>
      <c r="T83">
        <f ca="1"/>
        <v>0.44799963676895671</v>
      </c>
      <c r="U83">
        <f ca="1"/>
        <v>0.66244111651928805</v>
      </c>
      <c r="W83">
        <f t="shared" ca="1" si="1"/>
        <v>7.0189042839020432</v>
      </c>
    </row>
    <row r="84" spans="1:23" x14ac:dyDescent="0.25">
      <c r="A84" s="1">
        <v>1.116394752842387</v>
      </c>
      <c r="T84">
        <f ca="1"/>
        <v>0.94600577539005459</v>
      </c>
      <c r="U84">
        <f ca="1"/>
        <v>0.10744432187581388</v>
      </c>
      <c r="W84">
        <f t="shared" ca="1" si="1"/>
        <v>0.73462450372831012</v>
      </c>
    </row>
    <row r="85" spans="1:23" x14ac:dyDescent="0.25">
      <c r="A85" s="1">
        <v>9.8771766688623686</v>
      </c>
      <c r="T85">
        <f ca="1"/>
        <v>0.34407147315998032</v>
      </c>
      <c r="U85">
        <f ca="1"/>
        <v>0.92368862491792236</v>
      </c>
      <c r="W85">
        <f t="shared" ca="1" si="1"/>
        <v>16.628837641635357</v>
      </c>
    </row>
    <row r="86" spans="1:23" x14ac:dyDescent="0.25">
      <c r="A86" s="1">
        <v>6.3162393988898335</v>
      </c>
      <c r="T86">
        <f ca="1"/>
        <v>0.61075280265674237</v>
      </c>
      <c r="U86">
        <f ca="1"/>
        <v>7.9946259338876446E-2</v>
      </c>
      <c r="W86">
        <f t="shared" ca="1" si="1"/>
        <v>0.53851684763687246</v>
      </c>
    </row>
    <row r="87" spans="1:23" x14ac:dyDescent="0.25">
      <c r="A87" s="1">
        <v>2.9231322072546928</v>
      </c>
      <c r="T87">
        <f ca="1"/>
        <v>0.6650735182672507</v>
      </c>
      <c r="U87">
        <f ca="1"/>
        <v>0.43609437513238913</v>
      </c>
      <c r="W87">
        <f t="shared" ca="1" si="1"/>
        <v>3.7024416012651531</v>
      </c>
    </row>
    <row r="88" spans="1:23" x14ac:dyDescent="0.25">
      <c r="A88" s="1">
        <v>128.88058974357673</v>
      </c>
      <c r="T88">
        <f ca="1"/>
        <v>0.76827567834426658</v>
      </c>
      <c r="U88">
        <f ca="1"/>
        <v>0.88560429155735432</v>
      </c>
      <c r="W88">
        <f t="shared" ca="1" si="1"/>
        <v>14.012351410867453</v>
      </c>
    </row>
    <row r="89" spans="1:23" x14ac:dyDescent="0.25">
      <c r="A89" s="1">
        <v>10.160672458993986</v>
      </c>
      <c r="T89">
        <f ca="1"/>
        <v>0.13076164696550041</v>
      </c>
      <c r="U89">
        <f ca="1"/>
        <v>0.54455969097635215</v>
      </c>
      <c r="W89">
        <f t="shared" ca="1" si="1"/>
        <v>39.499379761842107</v>
      </c>
    </row>
    <row r="90" spans="1:23" x14ac:dyDescent="0.25">
      <c r="A90" s="1">
        <v>8.435472184178515</v>
      </c>
      <c r="T90">
        <f ca="1"/>
        <v>0.40186458618907972</v>
      </c>
      <c r="U90">
        <f ca="1"/>
        <v>0.91640690324156204</v>
      </c>
      <c r="W90">
        <f t="shared" ca="1" si="1"/>
        <v>16.03980779446308</v>
      </c>
    </row>
    <row r="91" spans="1:23" x14ac:dyDescent="0.25">
      <c r="A91" s="1">
        <v>9.6099578345086272</v>
      </c>
      <c r="T91">
        <f ca="1"/>
        <v>6.3232718828087231E-2</v>
      </c>
      <c r="U91">
        <f ca="1"/>
        <v>0.42577824889532967</v>
      </c>
      <c r="W91">
        <f t="shared" ca="1" si="1"/>
        <v>27.860308724439609</v>
      </c>
    </row>
    <row r="92" spans="1:23" x14ac:dyDescent="0.25">
      <c r="A92" s="1">
        <v>5.7612338474237967</v>
      </c>
      <c r="T92">
        <f ca="1"/>
        <v>0.3942132499290687</v>
      </c>
      <c r="U92">
        <f ca="1"/>
        <v>1.7288908915253254E-2</v>
      </c>
      <c r="W92">
        <f t="shared" ca="1" si="1"/>
        <v>0.11271520990560907</v>
      </c>
    </row>
    <row r="93" spans="1:23" x14ac:dyDescent="0.25">
      <c r="A93" s="1">
        <v>10.171748948536326</v>
      </c>
      <c r="T93">
        <f ca="1"/>
        <v>0.46824936755674007</v>
      </c>
      <c r="U93">
        <f ca="1"/>
        <v>0.46157708701129296</v>
      </c>
      <c r="W93">
        <f t="shared" ca="1" si="1"/>
        <v>4.0013067953775465</v>
      </c>
    </row>
    <row r="94" spans="1:23" x14ac:dyDescent="0.25">
      <c r="A94" s="1">
        <v>9.142282549561811</v>
      </c>
      <c r="T94">
        <f ca="1"/>
        <v>0.53024373229112753</v>
      </c>
      <c r="U94">
        <f ca="1"/>
        <v>0.55142092318793567</v>
      </c>
      <c r="W94">
        <f t="shared" ca="1" si="1"/>
        <v>5.1811857735316558</v>
      </c>
    </row>
    <row r="95" spans="1:23" x14ac:dyDescent="0.25">
      <c r="A95" s="1">
        <v>7.2987480573695249</v>
      </c>
      <c r="T95">
        <f ca="1"/>
        <v>0.30945910447761116</v>
      </c>
      <c r="U95">
        <f ca="1"/>
        <v>4.6706264818063392E-2</v>
      </c>
      <c r="W95">
        <f t="shared" ca="1" si="1"/>
        <v>0.30913895746808906</v>
      </c>
    </row>
    <row r="96" spans="1:23" x14ac:dyDescent="0.25">
      <c r="A96" s="1">
        <v>190.45054573090113</v>
      </c>
      <c r="T96">
        <f ca="1"/>
        <v>0.16035574612715209</v>
      </c>
      <c r="U96">
        <f ca="1"/>
        <v>0.33123812284676091</v>
      </c>
      <c r="W96">
        <f t="shared" ca="1" si="1"/>
        <v>20.205804569389574</v>
      </c>
    </row>
    <row r="97" spans="1:23" x14ac:dyDescent="0.25">
      <c r="A97" s="1">
        <v>10.475495268804075</v>
      </c>
      <c r="T97">
        <f ca="1"/>
        <v>1.1793718510091367E-2</v>
      </c>
      <c r="U97">
        <f ca="1"/>
        <v>0.26496121924243421</v>
      </c>
      <c r="W97">
        <f t="shared" ca="1" si="1"/>
        <v>15.460036707535508</v>
      </c>
    </row>
    <row r="98" spans="1:23" x14ac:dyDescent="0.25">
      <c r="A98" s="1">
        <v>99.062253467571892</v>
      </c>
      <c r="T98">
        <f ca="1"/>
        <v>0.84423943739572782</v>
      </c>
      <c r="U98">
        <f ca="1"/>
        <v>0.7113381708737081</v>
      </c>
      <c r="W98">
        <f t="shared" ca="1" si="1"/>
        <v>8.0302592136042499</v>
      </c>
    </row>
    <row r="99" spans="1:23" x14ac:dyDescent="0.25">
      <c r="A99" s="1">
        <v>8.4878397109304728</v>
      </c>
      <c r="T99">
        <f ca="1"/>
        <v>0.42712801650245069</v>
      </c>
      <c r="U99">
        <f ca="1"/>
        <v>0.89171518507618353</v>
      </c>
      <c r="W99">
        <f t="shared" ca="1" si="1"/>
        <v>14.367160637752916</v>
      </c>
    </row>
    <row r="100" spans="1:23" x14ac:dyDescent="0.25">
      <c r="A100" s="1">
        <v>9.5243278068060508</v>
      </c>
      <c r="T100">
        <f ca="1"/>
        <v>0.18782836004182624</v>
      </c>
      <c r="U100">
        <f ca="1"/>
        <v>0.14731948727231292</v>
      </c>
      <c r="W100">
        <f t="shared" ca="1" si="1"/>
        <v>8.0039478366297772</v>
      </c>
    </row>
    <row r="101" spans="1:23" x14ac:dyDescent="0.25">
      <c r="A101" s="1">
        <v>2.9163694794091066</v>
      </c>
      <c r="T101">
        <f ca="1"/>
        <v>0.67119022762546199</v>
      </c>
      <c r="U101">
        <f ca="1"/>
        <v>0.88437159811230082</v>
      </c>
      <c r="W101">
        <f t="shared" ca="1" si="1"/>
        <v>13.943080762808687</v>
      </c>
    </row>
    <row r="102" spans="1:23" x14ac:dyDescent="0.25">
      <c r="A102" s="1">
        <v>10.416986102794857</v>
      </c>
      <c r="T102">
        <f ca="1"/>
        <v>0.24861362005697152</v>
      </c>
      <c r="U102">
        <f ca="1"/>
        <v>0.75501059910040191</v>
      </c>
      <c r="W102">
        <f t="shared" ca="1" si="1"/>
        <v>70.639712117465024</v>
      </c>
    </row>
    <row r="103" spans="1:23" x14ac:dyDescent="0.25">
      <c r="A103" s="1">
        <v>10.018286599842188</v>
      </c>
      <c r="T103">
        <f ca="1"/>
        <v>0.89920679738801601</v>
      </c>
      <c r="U103">
        <f ca="1"/>
        <v>0.22585297761814305</v>
      </c>
      <c r="W103">
        <f t="shared" ca="1" si="1"/>
        <v>1.6544828178942577</v>
      </c>
    </row>
    <row r="104" spans="1:23" x14ac:dyDescent="0.25">
      <c r="A104" s="1">
        <v>7.8762251646730608</v>
      </c>
      <c r="T104">
        <f ca="1"/>
        <v>0.40471168214176267</v>
      </c>
      <c r="U104">
        <f ca="1"/>
        <v>0.23182274133282688</v>
      </c>
      <c r="W104">
        <f t="shared" ca="1" si="1"/>
        <v>1.7045147162074539</v>
      </c>
    </row>
    <row r="105" spans="1:23" x14ac:dyDescent="0.25">
      <c r="A105" s="1">
        <v>110.8962710952852</v>
      </c>
      <c r="T105">
        <f ca="1"/>
        <v>0.88549808855422429</v>
      </c>
      <c r="U105">
        <f ca="1"/>
        <v>0.82428546047492857</v>
      </c>
      <c r="W105">
        <f t="shared" ca="1" si="1"/>
        <v>11.238455058259797</v>
      </c>
    </row>
    <row r="106" spans="1:23" x14ac:dyDescent="0.25">
      <c r="A106" s="1">
        <v>99.772928412485214</v>
      </c>
      <c r="T106">
        <f ca="1"/>
        <v>0.15568721634898663</v>
      </c>
      <c r="U106">
        <f ca="1"/>
        <v>0.46021442591144557</v>
      </c>
      <c r="W106">
        <f t="shared" ca="1" si="1"/>
        <v>30.9662411248752</v>
      </c>
    </row>
    <row r="107" spans="1:23" x14ac:dyDescent="0.25">
      <c r="A107" s="1">
        <v>5.4099437623657662</v>
      </c>
      <c r="T107">
        <f ca="1"/>
        <v>0.98564551005301992</v>
      </c>
      <c r="U107">
        <f ca="1"/>
        <v>0.68378735822786307</v>
      </c>
      <c r="W107">
        <f t="shared" ca="1" si="1"/>
        <v>7.4410993857125742</v>
      </c>
    </row>
    <row r="108" spans="1:23" x14ac:dyDescent="0.25">
      <c r="A108" s="1">
        <v>9.68637342469016</v>
      </c>
      <c r="T108">
        <f ca="1"/>
        <v>0.97542073229091519</v>
      </c>
      <c r="U108">
        <f ca="1"/>
        <v>0.52922618965537027</v>
      </c>
      <c r="W108">
        <f t="shared" ca="1" si="1"/>
        <v>4.8690701917081709</v>
      </c>
    </row>
    <row r="109" spans="1:23" x14ac:dyDescent="0.25">
      <c r="A109" s="1">
        <v>36.16741445967854</v>
      </c>
      <c r="T109">
        <f ca="1"/>
        <v>0.79042753953544054</v>
      </c>
      <c r="U109">
        <f ca="1"/>
        <v>0.9614420816196092</v>
      </c>
      <c r="W109">
        <f t="shared" ca="1" si="1"/>
        <v>21.040864645660655</v>
      </c>
    </row>
    <row r="110" spans="1:23" x14ac:dyDescent="0.25">
      <c r="A110" s="1">
        <v>5.836852249903135</v>
      </c>
      <c r="T110">
        <f ca="1"/>
        <v>0.96091600944807021</v>
      </c>
      <c r="U110">
        <f ca="1"/>
        <v>0.81166965593546991</v>
      </c>
      <c r="W110">
        <f t="shared" ca="1" si="1"/>
        <v>10.790331959806334</v>
      </c>
    </row>
    <row r="111" spans="1:23" x14ac:dyDescent="0.25">
      <c r="A111" s="1">
        <v>6.014424324657206</v>
      </c>
      <c r="T111">
        <f ca="1"/>
        <v>0.82384704468137016</v>
      </c>
      <c r="U111">
        <f ca="1"/>
        <v>0.81229570154759179</v>
      </c>
      <c r="W111">
        <f t="shared" ca="1" si="1"/>
        <v>10.811851940974169</v>
      </c>
    </row>
    <row r="112" spans="1:23" x14ac:dyDescent="0.25">
      <c r="A112" s="1">
        <v>7.1740565336102691</v>
      </c>
      <c r="T112">
        <f ca="1"/>
        <v>0.12647625742660251</v>
      </c>
      <c r="U112">
        <f ca="1"/>
        <v>0.16078111655497307</v>
      </c>
      <c r="W112">
        <f t="shared" ca="1" si="1"/>
        <v>8.803154290837794</v>
      </c>
    </row>
    <row r="113" spans="1:23" x14ac:dyDescent="0.25">
      <c r="A113" s="1">
        <v>6.2973668318264586</v>
      </c>
      <c r="T113">
        <f ca="1"/>
        <v>0.6421693524292611</v>
      </c>
      <c r="U113">
        <f ca="1"/>
        <v>0.12269699810435686</v>
      </c>
      <c r="W113">
        <f t="shared" ca="1" si="1"/>
        <v>0.84602357744300549</v>
      </c>
    </row>
    <row r="114" spans="1:23" x14ac:dyDescent="0.25">
      <c r="A114" s="1">
        <v>13.864292541631325</v>
      </c>
      <c r="T114">
        <f ca="1"/>
        <v>0.49063781941427798</v>
      </c>
      <c r="U114">
        <f ca="1"/>
        <v>4.1342600352542114E-2</v>
      </c>
      <c r="W114">
        <f t="shared" ca="1" si="1"/>
        <v>0.27287716075083396</v>
      </c>
    </row>
    <row r="115" spans="1:23" x14ac:dyDescent="0.25">
      <c r="A115" s="1">
        <v>6.53059474052829</v>
      </c>
      <c r="T115">
        <f ca="1"/>
        <v>0.28253644477270745</v>
      </c>
      <c r="U115">
        <f ca="1"/>
        <v>0.89289708255004974</v>
      </c>
      <c r="W115">
        <f t="shared" ca="1" si="1"/>
        <v>112.19489789511158</v>
      </c>
    </row>
    <row r="116" spans="1:23" x14ac:dyDescent="0.25">
      <c r="A116" s="1">
        <v>1.6425439812876705</v>
      </c>
      <c r="T116">
        <f ca="1"/>
        <v>0.40967052822248906</v>
      </c>
      <c r="U116">
        <f ca="1"/>
        <v>0.49985683230970812</v>
      </c>
      <c r="W116">
        <f t="shared" ca="1" si="1"/>
        <v>4.4779518096594719</v>
      </c>
    </row>
    <row r="117" spans="1:23" x14ac:dyDescent="0.25">
      <c r="A117" s="1">
        <v>8.6196495941893492</v>
      </c>
      <c r="T117">
        <f ca="1"/>
        <v>0.69247842885443545</v>
      </c>
      <c r="U117">
        <f ca="1"/>
        <v>0.72989173920449657</v>
      </c>
      <c r="W117">
        <f t="shared" ca="1" si="1"/>
        <v>8.459615025983263</v>
      </c>
    </row>
    <row r="118" spans="1:23" x14ac:dyDescent="0.25">
      <c r="A118" s="1">
        <v>7.3051431160761293</v>
      </c>
      <c r="T118">
        <f ca="1"/>
        <v>0.36635133174862911</v>
      </c>
      <c r="U118">
        <f ca="1"/>
        <v>0.57285607837733798</v>
      </c>
      <c r="W118">
        <f t="shared" ca="1" si="1"/>
        <v>5.4976393426204071</v>
      </c>
    </row>
    <row r="119" spans="1:23" x14ac:dyDescent="0.25">
      <c r="A119" s="1">
        <v>1.9154824455814272</v>
      </c>
      <c r="T119">
        <f ca="1"/>
        <v>0.38560306467392569</v>
      </c>
      <c r="U119">
        <f ca="1"/>
        <v>0.30037899922209399</v>
      </c>
      <c r="W119">
        <f t="shared" ca="1" si="1"/>
        <v>2.3086861811132748</v>
      </c>
    </row>
    <row r="120" spans="1:23" x14ac:dyDescent="0.25">
      <c r="A120" s="1">
        <v>8.2059670919922372</v>
      </c>
      <c r="T120">
        <f ca="1"/>
        <v>0.11608129829678737</v>
      </c>
      <c r="U120">
        <f ca="1"/>
        <v>0.10654985499791114</v>
      </c>
      <c r="W120">
        <f t="shared" ca="1" si="1"/>
        <v>5.6582842748937106</v>
      </c>
    </row>
    <row r="121" spans="1:23" x14ac:dyDescent="0.25">
      <c r="A121" s="1">
        <v>9.6199296176302198</v>
      </c>
      <c r="T121">
        <f ca="1"/>
        <v>0.8798823297537357</v>
      </c>
      <c r="U121">
        <f ca="1"/>
        <v>0.61704110610580187</v>
      </c>
      <c r="W121">
        <f t="shared" ca="1" si="1"/>
        <v>6.2033547046016411</v>
      </c>
    </row>
    <row r="122" spans="1:23" x14ac:dyDescent="0.25">
      <c r="A122" s="1">
        <v>2.1242224589341334</v>
      </c>
      <c r="T122">
        <f ca="1"/>
        <v>0.75374415229797842</v>
      </c>
      <c r="U122">
        <f ca="1"/>
        <v>0.82056421198947693</v>
      </c>
      <c r="W122">
        <f t="shared" ca="1" si="1"/>
        <v>11.103012324253868</v>
      </c>
    </row>
    <row r="123" spans="1:23" x14ac:dyDescent="0.25">
      <c r="A123" s="1">
        <v>6.5236838898225082</v>
      </c>
      <c r="T123">
        <f ca="1"/>
        <v>0.59192897415086132</v>
      </c>
      <c r="U123">
        <f ca="1"/>
        <v>0.90833904230175988</v>
      </c>
      <c r="W123">
        <f t="shared" ca="1" si="1"/>
        <v>15.444336582948885</v>
      </c>
    </row>
    <row r="124" spans="1:23" x14ac:dyDescent="0.25">
      <c r="A124" s="1">
        <v>3.2680658224435954</v>
      </c>
      <c r="T124">
        <f ca="1"/>
        <v>0.74247088703655284</v>
      </c>
      <c r="U124">
        <f ca="1"/>
        <v>0.65315886723928496</v>
      </c>
      <c r="W124">
        <f t="shared" ca="1" si="1"/>
        <v>6.8435835769051936</v>
      </c>
    </row>
    <row r="125" spans="1:23" x14ac:dyDescent="0.25">
      <c r="A125" s="1">
        <v>17.613097538675376</v>
      </c>
      <c r="T125">
        <f ca="1"/>
        <v>0.57117804471089872</v>
      </c>
      <c r="U125">
        <f ca="1"/>
        <v>0.23326784786716415</v>
      </c>
      <c r="W125">
        <f t="shared" ca="1" si="1"/>
        <v>1.7166844368906509</v>
      </c>
    </row>
    <row r="126" spans="1:23" x14ac:dyDescent="0.25">
      <c r="A126" s="1">
        <v>4.7514886658259456</v>
      </c>
      <c r="T126">
        <f ca="1"/>
        <v>0.9886559172607734</v>
      </c>
      <c r="U126">
        <f ca="1"/>
        <v>0.90111780492805638</v>
      </c>
      <c r="W126">
        <f t="shared" ca="1" si="1"/>
        <v>14.954230952667157</v>
      </c>
    </row>
    <row r="127" spans="1:23" x14ac:dyDescent="0.25">
      <c r="A127" s="1">
        <v>8.7045114994239956</v>
      </c>
      <c r="T127">
        <f ca="1"/>
        <v>0.99574002493817559</v>
      </c>
      <c r="U127">
        <f ca="1"/>
        <v>0.34528588201228327</v>
      </c>
      <c r="W127">
        <f t="shared" ca="1" si="1"/>
        <v>2.737441353727855</v>
      </c>
    </row>
    <row r="128" spans="1:23" x14ac:dyDescent="0.25">
      <c r="A128" s="1">
        <v>9.7323682560612088</v>
      </c>
      <c r="T128">
        <f ca="1"/>
        <v>0.59059971084029783</v>
      </c>
      <c r="U128">
        <f ca="1"/>
        <v>0.81044679574087564</v>
      </c>
      <c r="W128">
        <f t="shared" ca="1" si="1"/>
        <v>10.748502360346684</v>
      </c>
    </row>
    <row r="129" spans="1:23" x14ac:dyDescent="0.25">
      <c r="A129" s="1">
        <v>51.222437152644162</v>
      </c>
      <c r="T129">
        <f ca="1"/>
        <v>0.85836021607916169</v>
      </c>
      <c r="U129">
        <f ca="1"/>
        <v>5.2451383169598298E-3</v>
      </c>
      <c r="W129">
        <f t="shared" ca="1" si="1"/>
        <v>3.3988482916201837E-2</v>
      </c>
    </row>
    <row r="130" spans="1:23" x14ac:dyDescent="0.25">
      <c r="A130" s="1">
        <v>9.9491187359733306</v>
      </c>
      <c r="T130">
        <f ca="1"/>
        <v>0.27389127247084977</v>
      </c>
      <c r="U130">
        <f ca="1"/>
        <v>0.8611943462606384</v>
      </c>
      <c r="W130">
        <f t="shared" ref="W130:W193" ca="1" si="2">IF(T130&lt;0.3, 2.56435 *19.5848130689838, 0.33 *19.5848130689838) * -LN(1-U130)</f>
        <v>99.173026809338111</v>
      </c>
    </row>
    <row r="131" spans="1:23" x14ac:dyDescent="0.25">
      <c r="A131" s="1">
        <v>54.774615603399752</v>
      </c>
      <c r="T131">
        <f ca="1"/>
        <v>1.9810421986149684E-2</v>
      </c>
      <c r="U131">
        <f ca="1"/>
        <v>0.39816910764527402</v>
      </c>
      <c r="W131">
        <f t="shared" ca="1" si="2"/>
        <v>25.501826182172998</v>
      </c>
    </row>
    <row r="132" spans="1:23" x14ac:dyDescent="0.25">
      <c r="A132" s="1">
        <v>8.5110664428376985</v>
      </c>
      <c r="T132">
        <f ca="1"/>
        <v>0.58869845626714135</v>
      </c>
      <c r="U132">
        <f ca="1"/>
        <v>0.81615104629867874</v>
      </c>
      <c r="W132">
        <f t="shared" ca="1" si="2"/>
        <v>10.945980452743141</v>
      </c>
    </row>
    <row r="133" spans="1:23" x14ac:dyDescent="0.25">
      <c r="A133" s="1">
        <v>1.8533420332617323</v>
      </c>
      <c r="T133">
        <f ca="1"/>
        <v>0.83736716916906873</v>
      </c>
      <c r="U133">
        <f ca="1"/>
        <v>0.18918511896166401</v>
      </c>
      <c r="W133">
        <f t="shared" ca="1" si="2"/>
        <v>1.3553888969047347</v>
      </c>
    </row>
    <row r="134" spans="1:23" x14ac:dyDescent="0.25">
      <c r="A134" s="1">
        <v>5.0939953091866519</v>
      </c>
      <c r="T134">
        <f ca="1"/>
        <v>0.19372875654378507</v>
      </c>
      <c r="U134">
        <f ca="1"/>
        <v>0.95043508030185353</v>
      </c>
      <c r="W134">
        <f t="shared" ca="1" si="2"/>
        <v>150.89153834735109</v>
      </c>
    </row>
    <row r="135" spans="1:23" x14ac:dyDescent="0.25">
      <c r="A135" s="1">
        <v>10.41963673770536</v>
      </c>
      <c r="T135">
        <f ca="1"/>
        <v>0.62790415553579426</v>
      </c>
      <c r="U135">
        <f ca="1"/>
        <v>0.197481442509156</v>
      </c>
      <c r="W135">
        <f t="shared" ca="1" si="2"/>
        <v>1.4218593654178087</v>
      </c>
    </row>
    <row r="136" spans="1:23" x14ac:dyDescent="0.25">
      <c r="A136" s="1">
        <v>9.8668252472922759</v>
      </c>
      <c r="T136">
        <f ca="1"/>
        <v>0.95230380885893329</v>
      </c>
      <c r="U136">
        <f ca="1"/>
        <v>0.90230571894162592</v>
      </c>
      <c r="W136">
        <f t="shared" ca="1" si="2"/>
        <v>15.032343735994804</v>
      </c>
    </row>
    <row r="137" spans="1:23" x14ac:dyDescent="0.25">
      <c r="A137" s="1">
        <v>19.244102305616</v>
      </c>
      <c r="T137">
        <f ca="1"/>
        <v>0.54482652436211576</v>
      </c>
      <c r="U137">
        <f ca="1"/>
        <v>0.82799700929796116</v>
      </c>
      <c r="W137">
        <f t="shared" ca="1" si="2"/>
        <v>11.376432615646248</v>
      </c>
    </row>
    <row r="138" spans="1:23" x14ac:dyDescent="0.25">
      <c r="A138" s="1">
        <v>9.7798356076911865</v>
      </c>
      <c r="T138">
        <f ca="1"/>
        <v>0.15610297299071019</v>
      </c>
      <c r="U138">
        <f ca="1"/>
        <v>0.71610330316903803</v>
      </c>
      <c r="W138">
        <f t="shared" ca="1" si="2"/>
        <v>63.237169810088339</v>
      </c>
    </row>
    <row r="139" spans="1:23" x14ac:dyDescent="0.25">
      <c r="A139" s="1">
        <v>74.230314362578355</v>
      </c>
      <c r="T139">
        <f ca="1"/>
        <v>0.30213159780010779</v>
      </c>
      <c r="U139">
        <f ca="1"/>
        <v>0.88429686454963941</v>
      </c>
      <c r="W139">
        <f t="shared" ca="1" si="2"/>
        <v>13.938904919217169</v>
      </c>
    </row>
    <row r="140" spans="1:23" x14ac:dyDescent="0.25">
      <c r="A140" s="1">
        <v>9.3992778969913324</v>
      </c>
      <c r="T140">
        <f ca="1"/>
        <v>0.86892871181829667</v>
      </c>
      <c r="U140">
        <f ca="1"/>
        <v>0.4314948557324636</v>
      </c>
      <c r="W140">
        <f t="shared" ca="1" si="2"/>
        <v>3.6499397981929906</v>
      </c>
    </row>
    <row r="141" spans="1:23" x14ac:dyDescent="0.25">
      <c r="A141" s="1">
        <v>3.6720013470296511</v>
      </c>
      <c r="T141">
        <f ca="1"/>
        <v>0.86851199236555199</v>
      </c>
      <c r="U141">
        <f ca="1"/>
        <v>0.3668972625050837</v>
      </c>
      <c r="W141">
        <f t="shared" ca="1" si="2"/>
        <v>2.9543778111757533</v>
      </c>
    </row>
    <row r="142" spans="1:23" x14ac:dyDescent="0.25">
      <c r="A142" s="1">
        <v>10.384353896339507</v>
      </c>
      <c r="T142">
        <f ca="1"/>
        <v>0.83084956427669843</v>
      </c>
      <c r="U142">
        <f ca="1"/>
        <v>0.26257092387825742</v>
      </c>
      <c r="W142">
        <f t="shared" ca="1" si="2"/>
        <v>1.9685316436549971</v>
      </c>
    </row>
    <row r="143" spans="1:23" x14ac:dyDescent="0.25">
      <c r="A143" s="1">
        <v>64.086286962949529</v>
      </c>
      <c r="T143">
        <f ca="1"/>
        <v>6.7341158928285072E-2</v>
      </c>
      <c r="U143">
        <f ca="1"/>
        <v>0.97986768349929454</v>
      </c>
      <c r="W143">
        <f t="shared" ca="1" si="2"/>
        <v>196.13968542364742</v>
      </c>
    </row>
    <row r="144" spans="1:23" x14ac:dyDescent="0.25">
      <c r="A144" s="1">
        <v>0.48869703602142317</v>
      </c>
      <c r="T144">
        <f ca="1"/>
        <v>0.88208084488259608</v>
      </c>
      <c r="U144">
        <f ca="1"/>
        <v>0.36691082968283295</v>
      </c>
      <c r="W144">
        <f t="shared" ca="1" si="2"/>
        <v>2.9545163123155769</v>
      </c>
    </row>
    <row r="145" spans="1:23" x14ac:dyDescent="0.25">
      <c r="A145" s="1">
        <v>13.152612415899622</v>
      </c>
      <c r="T145">
        <f ca="1"/>
        <v>0.52157438537083833</v>
      </c>
      <c r="U145">
        <f ca="1"/>
        <v>0.43643384422143106</v>
      </c>
      <c r="W145">
        <f t="shared" ca="1" si="2"/>
        <v>3.7063334677561501</v>
      </c>
    </row>
    <row r="146" spans="1:23" x14ac:dyDescent="0.25">
      <c r="A146" s="1">
        <v>8.1543683535079801</v>
      </c>
      <c r="T146">
        <f ca="1"/>
        <v>0.86601289699542949</v>
      </c>
      <c r="U146">
        <f ca="1"/>
        <v>0.67957270970745665</v>
      </c>
      <c r="W146">
        <f t="shared" ca="1" si="2"/>
        <v>7.3555262989489343</v>
      </c>
    </row>
    <row r="147" spans="1:23" x14ac:dyDescent="0.25">
      <c r="A147" s="1">
        <v>2.360767741192749</v>
      </c>
      <c r="T147">
        <f ca="1"/>
        <v>0.45882224431956997</v>
      </c>
      <c r="U147">
        <f ca="1"/>
        <v>0.52503972310015645</v>
      </c>
      <c r="W147">
        <f t="shared" ca="1" si="2"/>
        <v>4.8118505958030706</v>
      </c>
    </row>
    <row r="148" spans="1:23" x14ac:dyDescent="0.25">
      <c r="A148" s="1">
        <v>9.352753450488148</v>
      </c>
      <c r="T148">
        <f ca="1"/>
        <v>0.91693032522190343</v>
      </c>
      <c r="U148">
        <f ca="1"/>
        <v>0.66463087420174016</v>
      </c>
      <c r="W148">
        <f t="shared" ca="1" si="2"/>
        <v>7.0609665195879341</v>
      </c>
    </row>
    <row r="149" spans="1:23" x14ac:dyDescent="0.25">
      <c r="A149" s="1">
        <v>3.7593936815132158</v>
      </c>
      <c r="T149">
        <f ca="1"/>
        <v>0.47309693364014649</v>
      </c>
      <c r="U149">
        <f ca="1"/>
        <v>2.5291535286991795E-2</v>
      </c>
      <c r="W149">
        <f t="shared" ca="1" si="2"/>
        <v>0.16556148777904983</v>
      </c>
    </row>
    <row r="150" spans="1:23" x14ac:dyDescent="0.25">
      <c r="A150" s="1">
        <v>10.194306688921241</v>
      </c>
      <c r="T150">
        <f ca="1"/>
        <v>0.72459994634837854</v>
      </c>
      <c r="U150">
        <f ca="1"/>
        <v>0.12028720870907161</v>
      </c>
      <c r="W150">
        <f t="shared" ca="1" si="2"/>
        <v>0.82829527867194241</v>
      </c>
    </row>
    <row r="151" spans="1:23" x14ac:dyDescent="0.25">
      <c r="A151" s="1">
        <v>6.8526362400364151</v>
      </c>
      <c r="T151">
        <f ca="1"/>
        <v>0.97326390664831663</v>
      </c>
      <c r="U151">
        <f ca="1"/>
        <v>0.82258324640852853</v>
      </c>
      <c r="W151">
        <f t="shared" ca="1" si="2"/>
        <v>11.176146930710825</v>
      </c>
    </row>
    <row r="152" spans="1:23" x14ac:dyDescent="0.25">
      <c r="A152" s="1">
        <v>7.93043475436503</v>
      </c>
      <c r="T152">
        <f ca="1"/>
        <v>0.30344986345349034</v>
      </c>
      <c r="U152">
        <f ca="1"/>
        <v>0.65628752106862942</v>
      </c>
      <c r="W152">
        <f t="shared" ca="1" si="2"/>
        <v>6.9021469994881315</v>
      </c>
    </row>
    <row r="153" spans="1:23" x14ac:dyDescent="0.25">
      <c r="A153" s="1">
        <v>7.6510204607353369</v>
      </c>
      <c r="T153">
        <f ca="1"/>
        <v>0.29288253058295899</v>
      </c>
      <c r="U153">
        <f ca="1"/>
        <v>0.368556452444331</v>
      </c>
      <c r="W153">
        <f t="shared" ca="1" si="2"/>
        <v>23.08954554629814</v>
      </c>
    </row>
    <row r="154" spans="1:23" x14ac:dyDescent="0.25">
      <c r="A154" s="1">
        <v>14.301683028730929</v>
      </c>
      <c r="T154">
        <f ca="1"/>
        <v>0.94746146483003146</v>
      </c>
      <c r="U154">
        <f ca="1"/>
        <v>3.5424561652717568E-2</v>
      </c>
      <c r="W154">
        <f t="shared" ca="1" si="2"/>
        <v>0.23310211644290491</v>
      </c>
    </row>
    <row r="155" spans="1:23" x14ac:dyDescent="0.25">
      <c r="A155" s="1">
        <v>27.756508354551009</v>
      </c>
      <c r="T155">
        <f ca="1"/>
        <v>0.6564912191041774</v>
      </c>
      <c r="U155">
        <f ca="1"/>
        <v>0.57555479197626114</v>
      </c>
      <c r="W155">
        <f t="shared" ca="1" si="2"/>
        <v>5.5386023193196454</v>
      </c>
    </row>
    <row r="156" spans="1:23" x14ac:dyDescent="0.25">
      <c r="A156" s="1">
        <v>3.2614615992910401</v>
      </c>
      <c r="T156">
        <f ca="1"/>
        <v>0.10247465470404649</v>
      </c>
      <c r="U156">
        <f ca="1"/>
        <v>0.46863488406014042</v>
      </c>
      <c r="W156">
        <f t="shared" ca="1" si="2"/>
        <v>31.755866002927316</v>
      </c>
    </row>
    <row r="157" spans="1:23" x14ac:dyDescent="0.25">
      <c r="A157" s="1">
        <v>3.1564395744231888</v>
      </c>
      <c r="T157">
        <f ca="1"/>
        <v>0.38514944757807035</v>
      </c>
      <c r="U157">
        <f ca="1"/>
        <v>0.75728370929416178</v>
      </c>
      <c r="W157">
        <f t="shared" ca="1" si="2"/>
        <v>9.150699853799809</v>
      </c>
    </row>
    <row r="158" spans="1:23" x14ac:dyDescent="0.25">
      <c r="A158" s="1">
        <v>2.5563265813370601</v>
      </c>
      <c r="T158">
        <f ca="1"/>
        <v>0.99247642031998051</v>
      </c>
      <c r="U158">
        <f ca="1"/>
        <v>0.97286477009495265</v>
      </c>
      <c r="W158">
        <f t="shared" ca="1" si="2"/>
        <v>23.311497308907729</v>
      </c>
    </row>
    <row r="159" spans="1:23" x14ac:dyDescent="0.25">
      <c r="A159" s="1">
        <v>10.932032964644351</v>
      </c>
      <c r="T159">
        <f ca="1"/>
        <v>6.3133071651111372E-3</v>
      </c>
      <c r="U159">
        <f ca="1"/>
        <v>0.50683994613669148</v>
      </c>
      <c r="W159">
        <f t="shared" ca="1" si="2"/>
        <v>35.503234770519924</v>
      </c>
    </row>
    <row r="160" spans="1:23" x14ac:dyDescent="0.25">
      <c r="A160" s="1">
        <v>11.551075301078669</v>
      </c>
      <c r="T160">
        <f ca="1"/>
        <v>0.46843030974687916</v>
      </c>
      <c r="U160">
        <f ca="1"/>
        <v>0.43052895947196923</v>
      </c>
      <c r="W160">
        <f t="shared" ca="1" si="2"/>
        <v>3.6389684302057721</v>
      </c>
    </row>
    <row r="161" spans="1:23" x14ac:dyDescent="0.25">
      <c r="A161" s="1">
        <v>4.3120671075870494</v>
      </c>
      <c r="T161">
        <f ca="1"/>
        <v>0.87723622609598761</v>
      </c>
      <c r="U161">
        <f ca="1"/>
        <v>0.27144743366391055</v>
      </c>
      <c r="W161">
        <f t="shared" ca="1" si="2"/>
        <v>2.0467993087602041</v>
      </c>
    </row>
    <row r="162" spans="1:23" x14ac:dyDescent="0.25">
      <c r="A162" s="1">
        <v>9.1830587429991848</v>
      </c>
      <c r="T162">
        <f ca="1"/>
        <v>0.46792514935599971</v>
      </c>
      <c r="U162">
        <f ca="1"/>
        <v>0.32376311543878078</v>
      </c>
      <c r="W162">
        <f t="shared" ca="1" si="2"/>
        <v>2.5283975715393709</v>
      </c>
    </row>
    <row r="163" spans="1:23" x14ac:dyDescent="0.25">
      <c r="A163" s="1">
        <v>8.6179244573016316</v>
      </c>
      <c r="T163">
        <f ca="1"/>
        <v>0.77665059441826889</v>
      </c>
      <c r="U163">
        <f ca="1"/>
        <v>0.64576678023740053</v>
      </c>
      <c r="W163">
        <f t="shared" ca="1" si="2"/>
        <v>6.7072877837346656</v>
      </c>
    </row>
    <row r="164" spans="1:23" x14ac:dyDescent="0.25">
      <c r="A164" s="1">
        <v>3.347432795884584</v>
      </c>
      <c r="T164">
        <f ca="1"/>
        <v>0.70095884955575904</v>
      </c>
      <c r="U164">
        <f ca="1"/>
        <v>4.5548334540277624E-2</v>
      </c>
      <c r="W164">
        <f t="shared" ca="1" si="2"/>
        <v>0.30129337097754882</v>
      </c>
    </row>
    <row r="165" spans="1:23" x14ac:dyDescent="0.25">
      <c r="A165" s="1">
        <v>6.8469431312451814</v>
      </c>
      <c r="T165">
        <f ca="1"/>
        <v>0.80545681446386763</v>
      </c>
      <c r="U165">
        <f ca="1"/>
        <v>0.52258690551656373</v>
      </c>
      <c r="W165">
        <f t="shared" ca="1" si="2"/>
        <v>4.77855994131186</v>
      </c>
    </row>
    <row r="166" spans="1:23" x14ac:dyDescent="0.25">
      <c r="A166" s="1">
        <v>9.7710923544665107</v>
      </c>
      <c r="T166">
        <f ca="1"/>
        <v>0.38325990443656455</v>
      </c>
      <c r="U166">
        <f ca="1"/>
        <v>0.80781887195949387</v>
      </c>
      <c r="W166">
        <f t="shared" ca="1" si="2"/>
        <v>10.659516342789782</v>
      </c>
    </row>
    <row r="167" spans="1:23" x14ac:dyDescent="0.25">
      <c r="A167" s="1">
        <v>11.309146506110071</v>
      </c>
      <c r="T167">
        <f ca="1"/>
        <v>0.52985881790416745</v>
      </c>
      <c r="U167">
        <f ca="1"/>
        <v>0.83178982968194504</v>
      </c>
      <c r="W167">
        <f t="shared" ca="1" si="2"/>
        <v>11.520542087223507</v>
      </c>
    </row>
    <row r="168" spans="1:23" x14ac:dyDescent="0.25">
      <c r="A168" s="1">
        <v>86.049198211061224</v>
      </c>
      <c r="T168">
        <f ca="1"/>
        <v>0.11996367111060557</v>
      </c>
      <c r="U168">
        <f ca="1"/>
        <v>0.57335127560339494</v>
      </c>
      <c r="W168">
        <f t="shared" ca="1" si="2"/>
        <v>42.779080167710532</v>
      </c>
    </row>
    <row r="169" spans="1:23" x14ac:dyDescent="0.25">
      <c r="A169" s="1">
        <v>1.088476284556448</v>
      </c>
      <c r="T169">
        <f ca="1"/>
        <v>6.9296680001638578E-2</v>
      </c>
      <c r="U169">
        <f ca="1"/>
        <v>0.89345219311497637</v>
      </c>
      <c r="W169">
        <f t="shared" ca="1" si="2"/>
        <v>112.45587525141435</v>
      </c>
    </row>
    <row r="170" spans="1:23" x14ac:dyDescent="0.25">
      <c r="A170" s="1">
        <v>7.3320448636295357</v>
      </c>
      <c r="T170">
        <f ca="1"/>
        <v>0.85278759017940708</v>
      </c>
      <c r="U170">
        <f ca="1"/>
        <v>0.56578166839540089</v>
      </c>
      <c r="W170">
        <f t="shared" ca="1" si="2"/>
        <v>5.3914752822709291</v>
      </c>
    </row>
    <row r="171" spans="1:23" x14ac:dyDescent="0.25">
      <c r="A171" s="1">
        <v>2.5458356259423716</v>
      </c>
      <c r="T171">
        <f ca="1"/>
        <v>0.76555432200330031</v>
      </c>
      <c r="U171">
        <f ca="1"/>
        <v>1.9981798840823073E-2</v>
      </c>
      <c r="W171">
        <f t="shared" ca="1" si="2"/>
        <v>0.13044982782354886</v>
      </c>
    </row>
    <row r="172" spans="1:23" x14ac:dyDescent="0.25">
      <c r="A172" s="1">
        <v>7.172581093238815</v>
      </c>
      <c r="T172">
        <f ca="1"/>
        <v>8.2012991223823217E-3</v>
      </c>
      <c r="U172">
        <f ca="1"/>
        <v>0.61547523437740259</v>
      </c>
      <c r="W172">
        <f t="shared" ca="1" si="2"/>
        <v>47.999831397056433</v>
      </c>
    </row>
    <row r="173" spans="1:23" x14ac:dyDescent="0.25">
      <c r="A173" s="1">
        <v>14.970913597491347</v>
      </c>
      <c r="T173">
        <f ca="1"/>
        <v>1.3592295535375776E-2</v>
      </c>
      <c r="U173">
        <f ca="1"/>
        <v>0.40441962017277677</v>
      </c>
      <c r="W173">
        <f t="shared" ca="1" si="2"/>
        <v>26.026154072045038</v>
      </c>
    </row>
    <row r="174" spans="1:23" x14ac:dyDescent="0.25">
      <c r="A174" s="1">
        <v>1.7865678213753196</v>
      </c>
      <c r="T174">
        <f ca="1"/>
        <v>0.61582536823254519</v>
      </c>
      <c r="U174">
        <f ca="1"/>
        <v>0.26042182362955901</v>
      </c>
      <c r="W174">
        <f t="shared" ca="1" si="2"/>
        <v>1.949723855719057</v>
      </c>
    </row>
    <row r="175" spans="1:23" x14ac:dyDescent="0.25">
      <c r="A175" s="1">
        <v>6.3664210625058093</v>
      </c>
      <c r="T175">
        <f ca="1"/>
        <v>0.34376086347381363</v>
      </c>
      <c r="U175">
        <f ca="1"/>
        <v>0.10718499578573737</v>
      </c>
      <c r="W175">
        <f t="shared" ca="1" si="2"/>
        <v>0.73274699838140822</v>
      </c>
    </row>
    <row r="176" spans="1:23" x14ac:dyDescent="0.25">
      <c r="A176" s="1">
        <v>14.414392651856691</v>
      </c>
      <c r="T176">
        <f ca="1"/>
        <v>0.76851841798191756</v>
      </c>
      <c r="U176">
        <f ca="1"/>
        <v>0.44208415698419201</v>
      </c>
      <c r="W176">
        <f t="shared" ca="1" si="2"/>
        <v>3.7714583906412948</v>
      </c>
    </row>
    <row r="177" spans="1:23" x14ac:dyDescent="0.25">
      <c r="A177" s="1">
        <v>6.9291596975091982</v>
      </c>
      <c r="T177">
        <f ca="1"/>
        <v>0.75633370712655279</v>
      </c>
      <c r="U177">
        <f ca="1"/>
        <v>0.60136801662340122</v>
      </c>
      <c r="W177">
        <f t="shared" ca="1" si="2"/>
        <v>5.9441178639874677</v>
      </c>
    </row>
    <row r="178" spans="1:23" x14ac:dyDescent="0.25">
      <c r="A178" s="1">
        <v>9.4303948642446276</v>
      </c>
      <c r="T178">
        <f ca="1"/>
        <v>0.410985088244056</v>
      </c>
      <c r="U178">
        <f ca="1"/>
        <v>0.83877825355504676</v>
      </c>
      <c r="W178">
        <f t="shared" ca="1" si="2"/>
        <v>11.794789216849621</v>
      </c>
    </row>
    <row r="179" spans="1:23" x14ac:dyDescent="0.25">
      <c r="A179" s="1">
        <v>7.4438005568175072</v>
      </c>
      <c r="T179">
        <f ca="1"/>
        <v>0.77966504256878566</v>
      </c>
      <c r="U179">
        <f ca="1"/>
        <v>0.66899354186493265</v>
      </c>
      <c r="W179">
        <f t="shared" ca="1" si="2"/>
        <v>7.1455922881419074</v>
      </c>
    </row>
    <row r="180" spans="1:23" x14ac:dyDescent="0.25">
      <c r="A180" s="1">
        <v>5.7327230440974084</v>
      </c>
      <c r="T180">
        <f ca="1"/>
        <v>0.97064180599702743</v>
      </c>
      <c r="U180">
        <f ca="1"/>
        <v>0.84013032514072683</v>
      </c>
      <c r="W180">
        <f t="shared" ca="1" si="2"/>
        <v>11.849219039168496</v>
      </c>
    </row>
    <row r="181" spans="1:23" x14ac:dyDescent="0.25">
      <c r="A181" s="1">
        <v>42.226879845304168</v>
      </c>
      <c r="T181">
        <f ca="1"/>
        <v>0.23595431561120206</v>
      </c>
      <c r="U181">
        <f ca="1"/>
        <v>0.30903666442483657</v>
      </c>
      <c r="W181">
        <f t="shared" ca="1" si="2"/>
        <v>18.565608830272527</v>
      </c>
    </row>
    <row r="182" spans="1:23" x14ac:dyDescent="0.25">
      <c r="A182" s="1">
        <v>11.259859258421002</v>
      </c>
      <c r="T182">
        <f ca="1"/>
        <v>0.49381190235147243</v>
      </c>
      <c r="U182">
        <f ca="1"/>
        <v>0.34536851158718651</v>
      </c>
      <c r="W182">
        <f t="shared" ca="1" si="2"/>
        <v>2.7382570802632884</v>
      </c>
    </row>
    <row r="183" spans="1:23" x14ac:dyDescent="0.25">
      <c r="A183" s="1">
        <v>3.809494827735318</v>
      </c>
      <c r="T183">
        <f ca="1"/>
        <v>0.7025200045282356</v>
      </c>
      <c r="U183">
        <f ca="1"/>
        <v>0.20148429413432423</v>
      </c>
      <c r="W183">
        <f t="shared" ca="1" si="2"/>
        <v>1.4541765216052764</v>
      </c>
    </row>
    <row r="184" spans="1:23" x14ac:dyDescent="0.25">
      <c r="A184" s="1">
        <v>11.007533126838043</v>
      </c>
      <c r="T184">
        <f ca="1"/>
        <v>0.90577563169306452</v>
      </c>
      <c r="U184">
        <f ca="1"/>
        <v>0.96019235541888781</v>
      </c>
      <c r="W184">
        <f t="shared" ca="1" si="2"/>
        <v>20.834711576941331</v>
      </c>
    </row>
    <row r="185" spans="1:23" x14ac:dyDescent="0.25">
      <c r="A185" s="1">
        <v>8.8609826351938654</v>
      </c>
      <c r="T185">
        <f ca="1"/>
        <v>0.38398575841425586</v>
      </c>
      <c r="U185">
        <f ca="1"/>
        <v>0.81553950247086426</v>
      </c>
      <c r="W185">
        <f t="shared" ca="1" si="2"/>
        <v>10.924518042637155</v>
      </c>
    </row>
    <row r="186" spans="1:23" x14ac:dyDescent="0.25">
      <c r="A186" s="1">
        <v>60.17536963524779</v>
      </c>
      <c r="T186">
        <f ca="1"/>
        <v>0.54618121097486849</v>
      </c>
      <c r="U186">
        <f ca="1"/>
        <v>1.4207318212722475E-2</v>
      </c>
      <c r="W186">
        <f t="shared" ca="1" si="2"/>
        <v>9.2480246438627775E-2</v>
      </c>
    </row>
    <row r="187" spans="1:23" x14ac:dyDescent="0.25">
      <c r="A187" s="1">
        <v>4.9975704653932764</v>
      </c>
      <c r="T187">
        <f ca="1"/>
        <v>0.10495338651610631</v>
      </c>
      <c r="U187">
        <f ca="1"/>
        <v>0.17690615643431085</v>
      </c>
      <c r="W187">
        <f t="shared" ca="1" si="2"/>
        <v>9.7775344154919814</v>
      </c>
    </row>
    <row r="188" spans="1:23" x14ac:dyDescent="0.25">
      <c r="A188" s="1">
        <v>20.14045770993426</v>
      </c>
      <c r="T188">
        <f ca="1"/>
        <v>0.69093360278571159</v>
      </c>
      <c r="U188">
        <f ca="1"/>
        <v>0.79291750903411584</v>
      </c>
      <c r="W188">
        <f t="shared" ca="1" si="2"/>
        <v>10.176867365805151</v>
      </c>
    </row>
    <row r="189" spans="1:23" x14ac:dyDescent="0.25">
      <c r="A189" s="1">
        <v>3.9540533570239447</v>
      </c>
      <c r="T189">
        <f ca="1"/>
        <v>0.48232028502430091</v>
      </c>
      <c r="U189">
        <f ca="1"/>
        <v>0.65374614525649122</v>
      </c>
      <c r="W189">
        <f t="shared" ca="1" si="2"/>
        <v>6.8545361070441722</v>
      </c>
    </row>
    <row r="190" spans="1:23" x14ac:dyDescent="0.25">
      <c r="A190" s="1">
        <v>8.5717859757718262</v>
      </c>
      <c r="T190">
        <f ca="1"/>
        <v>0.59494723048477094</v>
      </c>
      <c r="U190">
        <f ca="1"/>
        <v>0.53646339325663028</v>
      </c>
      <c r="W190">
        <f t="shared" ca="1" si="2"/>
        <v>4.9691972950061825</v>
      </c>
    </row>
    <row r="191" spans="1:23" x14ac:dyDescent="0.25">
      <c r="A191" s="1">
        <v>11.5595953417163</v>
      </c>
      <c r="T191">
        <f ca="1"/>
        <v>5.2669638442696121E-2</v>
      </c>
      <c r="U191">
        <f ca="1"/>
        <v>0.21743122687731886</v>
      </c>
      <c r="W191">
        <f t="shared" ca="1" si="2"/>
        <v>12.313179409528017</v>
      </c>
    </row>
    <row r="192" spans="1:23" x14ac:dyDescent="0.25">
      <c r="A192" s="1">
        <v>6.1042593000850642</v>
      </c>
      <c r="T192">
        <f ca="1"/>
        <v>0.30142219280209392</v>
      </c>
      <c r="U192">
        <f ca="1"/>
        <v>0.89271430837241539</v>
      </c>
      <c r="W192">
        <f t="shared" ca="1" si="2"/>
        <v>14.427070210055415</v>
      </c>
    </row>
    <row r="193" spans="1:23" x14ac:dyDescent="0.25">
      <c r="A193" s="1">
        <v>31.755118692210988</v>
      </c>
      <c r="T193">
        <f ca="1"/>
        <v>0.10465296994827633</v>
      </c>
      <c r="U193">
        <f ca="1"/>
        <v>0.31721046754485527</v>
      </c>
      <c r="W193">
        <f t="shared" ca="1" si="2"/>
        <v>19.163259502690966</v>
      </c>
    </row>
    <row r="194" spans="1:23" x14ac:dyDescent="0.25">
      <c r="A194" s="1">
        <v>11.110160391356104</v>
      </c>
      <c r="T194">
        <f ca="1"/>
        <v>0.3078305548029352</v>
      </c>
      <c r="U194">
        <f ca="1"/>
        <v>6.5353556370611132E-2</v>
      </c>
      <c r="W194">
        <f t="shared" ref="W194:W257" ca="1" si="3">IF(T194&lt;0.3, 2.56435 *19.5848130689838, 0.33 *19.5848130689838) * -LN(1-U194)</f>
        <v>0.43681370905201627</v>
      </c>
    </row>
    <row r="195" spans="1:23" x14ac:dyDescent="0.25">
      <c r="A195" s="1">
        <v>10.669641006739104</v>
      </c>
      <c r="T195">
        <f ca="1"/>
        <v>5.9271797427894679E-2</v>
      </c>
      <c r="U195">
        <f ca="1"/>
        <v>0.40721064868414492</v>
      </c>
      <c r="W195">
        <f t="shared" ca="1" si="3"/>
        <v>26.262060740193096</v>
      </c>
    </row>
    <row r="196" spans="1:23" x14ac:dyDescent="0.25">
      <c r="A196" s="1">
        <v>9.0833238957020406</v>
      </c>
      <c r="T196">
        <f ca="1"/>
        <v>0.31189181771663699</v>
      </c>
      <c r="U196">
        <f ca="1"/>
        <v>0.84697113261458279</v>
      </c>
      <c r="W196">
        <f t="shared" ca="1" si="3"/>
        <v>12.131860847490302</v>
      </c>
    </row>
    <row r="197" spans="1:23" x14ac:dyDescent="0.25">
      <c r="A197" s="1">
        <v>9.7718380794139321</v>
      </c>
      <c r="T197">
        <f ca="1"/>
        <v>8.814069548276815E-2</v>
      </c>
      <c r="U197">
        <f ca="1"/>
        <v>0.54037035779578346</v>
      </c>
      <c r="W197">
        <f t="shared" ca="1" si="3"/>
        <v>39.039525338766275</v>
      </c>
    </row>
    <row r="198" spans="1:23" x14ac:dyDescent="0.25">
      <c r="A198" s="1">
        <v>12.56727339971736</v>
      </c>
      <c r="T198">
        <f ca="1"/>
        <v>0.13312928129752022</v>
      </c>
      <c r="U198">
        <f ca="1"/>
        <v>0.50625772172010675</v>
      </c>
      <c r="W198">
        <f t="shared" ca="1" si="3"/>
        <v>35.443977312675408</v>
      </c>
    </row>
    <row r="199" spans="1:23" x14ac:dyDescent="0.25">
      <c r="A199" s="1">
        <v>2.7484313727984455</v>
      </c>
      <c r="T199">
        <f ca="1"/>
        <v>0.85373525009562545</v>
      </c>
      <c r="U199">
        <f ca="1"/>
        <v>0.82022502793714769</v>
      </c>
      <c r="W199">
        <f t="shared" ca="1" si="3"/>
        <v>11.090806992670032</v>
      </c>
    </row>
    <row r="200" spans="1:23" x14ac:dyDescent="0.25">
      <c r="A200" s="1">
        <v>21.858126279655004</v>
      </c>
      <c r="T200">
        <f ca="1"/>
        <v>0.47155374034384057</v>
      </c>
      <c r="U200">
        <f ca="1"/>
        <v>0.10192139314577453</v>
      </c>
      <c r="W200">
        <f t="shared" ca="1" si="3"/>
        <v>0.69475624327535757</v>
      </c>
    </row>
    <row r="201" spans="1:23" x14ac:dyDescent="0.25">
      <c r="A201" s="1">
        <v>6.6119530860787332</v>
      </c>
      <c r="T201">
        <f ca="1"/>
        <v>0.60126864710609507</v>
      </c>
      <c r="U201">
        <f ca="1"/>
        <v>0.24227190863110204</v>
      </c>
      <c r="W201">
        <f t="shared" ca="1" si="3"/>
        <v>1.7930312179174406</v>
      </c>
    </row>
    <row r="202" spans="1:23" x14ac:dyDescent="0.25">
      <c r="A202" s="1">
        <v>5.1534627084191964</v>
      </c>
      <c r="T202">
        <f ca="1"/>
        <v>0.45489983810934476</v>
      </c>
      <c r="U202">
        <f ca="1"/>
        <v>0.64170713773642318</v>
      </c>
      <c r="W202">
        <f t="shared" ca="1" si="3"/>
        <v>6.6336407787735698</v>
      </c>
    </row>
    <row r="203" spans="1:23" x14ac:dyDescent="0.25">
      <c r="A203" s="1">
        <v>6.1624417703871925</v>
      </c>
      <c r="T203">
        <f ca="1"/>
        <v>0.53596165615790392</v>
      </c>
      <c r="U203">
        <f ca="1"/>
        <v>0.4664095306078575</v>
      </c>
      <c r="W203">
        <f t="shared" ca="1" si="3"/>
        <v>4.0595751687992392</v>
      </c>
    </row>
    <row r="204" spans="1:23" x14ac:dyDescent="0.25">
      <c r="A204" s="1">
        <v>64.132170486730701</v>
      </c>
      <c r="T204">
        <f ca="1"/>
        <v>0.58387942548913507</v>
      </c>
      <c r="U204">
        <f ca="1"/>
        <v>2.5672441087568165E-2</v>
      </c>
      <c r="W204">
        <f t="shared" ca="1" si="3"/>
        <v>0.16808764916230842</v>
      </c>
    </row>
    <row r="205" spans="1:23" x14ac:dyDescent="0.25">
      <c r="A205" s="1">
        <v>6.718976004931017</v>
      </c>
      <c r="T205">
        <f ca="1"/>
        <v>0.87875517713969598</v>
      </c>
      <c r="U205">
        <f ca="1"/>
        <v>0.44468859409358541</v>
      </c>
      <c r="W205">
        <f t="shared" ca="1" si="3"/>
        <v>3.8016992553455689</v>
      </c>
    </row>
    <row r="206" spans="1:23" x14ac:dyDescent="0.25">
      <c r="A206" s="1">
        <v>36.786634203953703</v>
      </c>
      <c r="T206">
        <f ca="1"/>
        <v>0.23412749937443689</v>
      </c>
      <c r="U206">
        <f ca="1"/>
        <v>0.14374961198696035</v>
      </c>
      <c r="W206">
        <f t="shared" ca="1" si="3"/>
        <v>7.7941234801200734</v>
      </c>
    </row>
    <row r="207" spans="1:23" x14ac:dyDescent="0.25">
      <c r="A207" s="1">
        <v>4.3863538544455611</v>
      </c>
      <c r="T207">
        <f ca="1"/>
        <v>0.51177893488128956</v>
      </c>
      <c r="U207">
        <f ca="1"/>
        <v>0.33781263547882179</v>
      </c>
      <c r="W207">
        <f t="shared" ca="1" si="3"/>
        <v>2.6640873114741912</v>
      </c>
    </row>
    <row r="208" spans="1:23" x14ac:dyDescent="0.25">
      <c r="A208" s="1">
        <v>7.7958151680013117</v>
      </c>
      <c r="T208">
        <f ca="1"/>
        <v>0.95716152700635981</v>
      </c>
      <c r="U208">
        <f ca="1"/>
        <v>5.568764415566485E-2</v>
      </c>
      <c r="W208">
        <f t="shared" ca="1" si="3"/>
        <v>0.37031812780472334</v>
      </c>
    </row>
    <row r="209" spans="1:23" x14ac:dyDescent="0.25">
      <c r="A209" s="1">
        <v>4.0213050962071772</v>
      </c>
      <c r="T209">
        <f ca="1"/>
        <v>0.17903699251098582</v>
      </c>
      <c r="U209">
        <f ca="1"/>
        <v>0.62310258901970039</v>
      </c>
      <c r="W209">
        <f t="shared" ca="1" si="3"/>
        <v>49.00604381342923</v>
      </c>
    </row>
    <row r="210" spans="1:23" x14ac:dyDescent="0.25">
      <c r="A210" s="1">
        <v>7.4349443598108644</v>
      </c>
      <c r="T210">
        <f ca="1"/>
        <v>0.77974440771199327</v>
      </c>
      <c r="U210">
        <f ca="1"/>
        <v>0.46783778856379699</v>
      </c>
      <c r="W210">
        <f t="shared" ca="1" si="3"/>
        <v>4.0768977994039064</v>
      </c>
    </row>
    <row r="211" spans="1:23" x14ac:dyDescent="0.25">
      <c r="A211" s="1">
        <v>2.2007739200751115</v>
      </c>
      <c r="T211">
        <f ca="1"/>
        <v>0.96836809325315043</v>
      </c>
      <c r="U211">
        <f ca="1"/>
        <v>0.31993890147126414</v>
      </c>
      <c r="W211">
        <f t="shared" ca="1" si="3"/>
        <v>2.4919514277212769</v>
      </c>
    </row>
    <row r="212" spans="1:23" x14ac:dyDescent="0.25">
      <c r="A212" s="1">
        <v>7.1159588047338911</v>
      </c>
      <c r="T212">
        <f ca="1"/>
        <v>0.51086321503530896</v>
      </c>
      <c r="U212">
        <f ca="1"/>
        <v>0.51031326636645002</v>
      </c>
      <c r="W212">
        <f t="shared" ca="1" si="3"/>
        <v>4.6145052216020881</v>
      </c>
    </row>
    <row r="213" spans="1:23" x14ac:dyDescent="0.25">
      <c r="A213" s="1">
        <v>30.713355053182841</v>
      </c>
      <c r="T213">
        <f ca="1"/>
        <v>0.47796795000851522</v>
      </c>
      <c r="U213">
        <f ca="1"/>
        <v>0.3912415547900252</v>
      </c>
      <c r="W213">
        <f t="shared" ca="1" si="3"/>
        <v>3.2077991068634963</v>
      </c>
    </row>
    <row r="214" spans="1:23" x14ac:dyDescent="0.25">
      <c r="A214" s="1">
        <v>4.3281250647086909</v>
      </c>
      <c r="T214">
        <f ca="1"/>
        <v>0.32819992770521056</v>
      </c>
      <c r="U214">
        <f ca="1"/>
        <v>0.43061599968218323</v>
      </c>
      <c r="W214">
        <f t="shared" ca="1" si="3"/>
        <v>3.6399563344469144</v>
      </c>
    </row>
    <row r="215" spans="1:23" x14ac:dyDescent="0.25">
      <c r="A215" s="1">
        <v>7.4179369636540793</v>
      </c>
      <c r="T215">
        <f ca="1"/>
        <v>8.8010855246202002E-2</v>
      </c>
      <c r="U215">
        <f ca="1"/>
        <v>0.57640431625500033</v>
      </c>
      <c r="W215">
        <f t="shared" ca="1" si="3"/>
        <v>43.139756293424945</v>
      </c>
    </row>
    <row r="216" spans="1:23" x14ac:dyDescent="0.25">
      <c r="A216" s="1">
        <v>6.7907605966328042</v>
      </c>
      <c r="T216">
        <f ca="1"/>
        <v>0.17712978230488186</v>
      </c>
      <c r="U216">
        <f ca="1"/>
        <v>0.23378043503993351</v>
      </c>
      <c r="W216">
        <f t="shared" ca="1" si="3"/>
        <v>13.373525189951817</v>
      </c>
    </row>
    <row r="217" spans="1:23" x14ac:dyDescent="0.25">
      <c r="A217" s="1">
        <v>14.708284211511415</v>
      </c>
      <c r="T217">
        <f ca="1"/>
        <v>0.71502110717873668</v>
      </c>
      <c r="U217">
        <f ca="1"/>
        <v>0.83574248444923782</v>
      </c>
      <c r="W217">
        <f t="shared" ca="1" si="3"/>
        <v>11.674224182338255</v>
      </c>
    </row>
    <row r="218" spans="1:23" x14ac:dyDescent="0.25">
      <c r="A218" s="1">
        <v>1.5006546519477899</v>
      </c>
      <c r="T218">
        <f ca="1"/>
        <v>0.82030104376832269</v>
      </c>
      <c r="U218">
        <f ca="1"/>
        <v>0.87671948342456574</v>
      </c>
      <c r="W218">
        <f t="shared" ca="1" si="3"/>
        <v>13.528927533141999</v>
      </c>
    </row>
    <row r="219" spans="1:23" x14ac:dyDescent="0.25">
      <c r="A219" s="1">
        <v>3.1810928367046576</v>
      </c>
      <c r="T219">
        <f ca="1"/>
        <v>0.39145235115398358</v>
      </c>
      <c r="U219">
        <f ca="1"/>
        <v>0.59977847296260611</v>
      </c>
      <c r="W219">
        <f t="shared" ca="1" si="3"/>
        <v>5.9183979653416117</v>
      </c>
    </row>
    <row r="220" spans="1:23" x14ac:dyDescent="0.25">
      <c r="A220" s="1">
        <v>196.62837377482958</v>
      </c>
      <c r="T220">
        <f ca="1"/>
        <v>0.1476494713571308</v>
      </c>
      <c r="U220">
        <f ca="1"/>
        <v>0.51720646068718357</v>
      </c>
      <c r="W220">
        <f t="shared" ca="1" si="3"/>
        <v>36.57019112659065</v>
      </c>
    </row>
    <row r="221" spans="1:23" x14ac:dyDescent="0.25">
      <c r="A221" s="1">
        <v>7.7285828902967904</v>
      </c>
      <c r="T221">
        <f ca="1"/>
        <v>0.74767870211571585</v>
      </c>
      <c r="U221">
        <f ca="1"/>
        <v>0.2317933482886203</v>
      </c>
      <c r="W221">
        <f t="shared" ca="1" si="3"/>
        <v>1.7042674252798102</v>
      </c>
    </row>
    <row r="222" spans="1:23" x14ac:dyDescent="0.25">
      <c r="A222" s="1">
        <v>22.967242966629037</v>
      </c>
      <c r="T222">
        <f ca="1"/>
        <v>0.82405174593554875</v>
      </c>
      <c r="U222">
        <f ca="1"/>
        <v>0.57633793484027351</v>
      </c>
      <c r="W222">
        <f t="shared" ca="1" si="3"/>
        <v>5.550538178793925</v>
      </c>
    </row>
    <row r="223" spans="1:23" x14ac:dyDescent="0.25">
      <c r="A223" s="1">
        <v>2.9433988458032587</v>
      </c>
      <c r="T223">
        <f ca="1"/>
        <v>0.83652750155355826</v>
      </c>
      <c r="U223">
        <f ca="1"/>
        <v>0.86140253221363583</v>
      </c>
      <c r="W223">
        <f t="shared" ca="1" si="3"/>
        <v>12.772037694959591</v>
      </c>
    </row>
    <row r="224" spans="1:23" x14ac:dyDescent="0.25">
      <c r="A224" s="1">
        <v>9.7542091042883072</v>
      </c>
      <c r="T224">
        <f ca="1"/>
        <v>0.79919082704829836</v>
      </c>
      <c r="U224">
        <f ca="1"/>
        <v>0.92210774339623636</v>
      </c>
      <c r="W224">
        <f t="shared" ca="1" si="3"/>
        <v>16.496317069218637</v>
      </c>
    </row>
    <row r="225" spans="1:23" x14ac:dyDescent="0.25">
      <c r="A225" s="1">
        <v>3.6149807106731338</v>
      </c>
      <c r="T225">
        <f ca="1"/>
        <v>0.36417407884420405</v>
      </c>
      <c r="U225">
        <f ca="1"/>
        <v>0.96440136541795973</v>
      </c>
      <c r="W225">
        <f t="shared" ca="1" si="3"/>
        <v>21.556961417900329</v>
      </c>
    </row>
    <row r="226" spans="1:23" x14ac:dyDescent="0.25">
      <c r="A226" s="1">
        <v>12.341923308332323</v>
      </c>
      <c r="T226">
        <f ca="1"/>
        <v>0.21937037569604012</v>
      </c>
      <c r="U226">
        <f ca="1"/>
        <v>0.48642643517445383</v>
      </c>
      <c r="W226">
        <f t="shared" ca="1" si="3"/>
        <v>33.466242444141955</v>
      </c>
    </row>
    <row r="227" spans="1:23" x14ac:dyDescent="0.25">
      <c r="A227" s="1">
        <v>2.998831098957051</v>
      </c>
      <c r="T227">
        <f ca="1"/>
        <v>0.85807476628282298</v>
      </c>
      <c r="U227">
        <f ca="1"/>
        <v>6.5236703908726046E-2</v>
      </c>
      <c r="W227">
        <f t="shared" ca="1" si="3"/>
        <v>0.43600573626743289</v>
      </c>
    </row>
    <row r="228" spans="1:23" x14ac:dyDescent="0.25">
      <c r="A228" s="1">
        <v>3.8260327940306698</v>
      </c>
      <c r="T228">
        <f ca="1"/>
        <v>0.39448443192865201</v>
      </c>
      <c r="U228">
        <f ca="1"/>
        <v>0.73550655216365191</v>
      </c>
      <c r="W228">
        <f t="shared" ca="1" si="3"/>
        <v>8.5953789202900204</v>
      </c>
    </row>
    <row r="229" spans="1:23" x14ac:dyDescent="0.25">
      <c r="A229" s="1">
        <v>40.47347066341429</v>
      </c>
      <c r="T229">
        <f ca="1"/>
        <v>0.55945923303344158</v>
      </c>
      <c r="U229">
        <f ca="1"/>
        <v>0.43642403508796579</v>
      </c>
      <c r="W229">
        <f t="shared" ca="1" si="3"/>
        <v>3.7062209773899712</v>
      </c>
    </row>
    <row r="230" spans="1:23" x14ac:dyDescent="0.25">
      <c r="A230" s="1">
        <v>3.7132306347582329</v>
      </c>
      <c r="T230">
        <f ca="1"/>
        <v>0.90740792550306626</v>
      </c>
      <c r="U230">
        <f ca="1"/>
        <v>6.7194653717912223E-2</v>
      </c>
      <c r="W230">
        <f t="shared" ca="1" si="3"/>
        <v>0.44955727175893428</v>
      </c>
    </row>
    <row r="231" spans="1:23" x14ac:dyDescent="0.25">
      <c r="A231" s="1">
        <v>68.419486909888306</v>
      </c>
      <c r="T231">
        <f ca="1"/>
        <v>0.73221061576321889</v>
      </c>
      <c r="U231">
        <f ca="1"/>
        <v>0.4645633602243473</v>
      </c>
      <c r="W231">
        <f t="shared" ca="1" si="3"/>
        <v>4.0372524617855827</v>
      </c>
    </row>
    <row r="232" spans="1:23" x14ac:dyDescent="0.25">
      <c r="A232" s="1">
        <v>53.980874084894559</v>
      </c>
      <c r="T232">
        <f ca="1"/>
        <v>0.78568452323253357</v>
      </c>
      <c r="U232">
        <f ca="1"/>
        <v>0.65172036490173979</v>
      </c>
      <c r="W232">
        <f t="shared" ca="1" si="3"/>
        <v>6.8168341615605499</v>
      </c>
    </row>
    <row r="233" spans="1:23" x14ac:dyDescent="0.25">
      <c r="A233" s="1">
        <v>5.7227552809579088</v>
      </c>
      <c r="T233">
        <f ca="1"/>
        <v>8.2423484059050534E-2</v>
      </c>
      <c r="U233">
        <f ca="1"/>
        <v>0.25515268915225353</v>
      </c>
      <c r="W233">
        <f t="shared" ca="1" si="3"/>
        <v>14.794290461301136</v>
      </c>
    </row>
    <row r="234" spans="1:23" x14ac:dyDescent="0.25">
      <c r="A234" s="1">
        <v>9.3545271671484507</v>
      </c>
      <c r="T234">
        <f ca="1"/>
        <v>0.45252676279495652</v>
      </c>
      <c r="U234">
        <f ca="1"/>
        <v>0.47878722297347109</v>
      </c>
      <c r="W234">
        <f t="shared" ca="1" si="3"/>
        <v>4.2112632747110732</v>
      </c>
    </row>
    <row r="235" spans="1:23" x14ac:dyDescent="0.25">
      <c r="A235" s="1">
        <v>1.2426210292326672</v>
      </c>
      <c r="T235">
        <f ca="1"/>
        <v>0.95224724973034003</v>
      </c>
      <c r="U235">
        <f ca="1"/>
        <v>0.30936902064380001</v>
      </c>
      <c r="W235">
        <f t="shared" ca="1" si="3"/>
        <v>2.3922727741705603</v>
      </c>
    </row>
    <row r="236" spans="1:23" x14ac:dyDescent="0.25">
      <c r="A236" s="1">
        <v>5.519069732497516</v>
      </c>
      <c r="T236">
        <f ca="1"/>
        <v>0.99465284556895472</v>
      </c>
      <c r="U236">
        <f ca="1"/>
        <v>0.62368970255186951</v>
      </c>
      <c r="W236">
        <f t="shared" ca="1" si="3"/>
        <v>6.3165448615082331</v>
      </c>
    </row>
    <row r="237" spans="1:23" x14ac:dyDescent="0.25">
      <c r="A237" s="1">
        <v>7.4741924898508971</v>
      </c>
      <c r="T237">
        <f ca="1"/>
        <v>0.37141411338624764</v>
      </c>
      <c r="U237">
        <f ca="1"/>
        <v>0.24753946467766452</v>
      </c>
      <c r="W237">
        <f t="shared" ca="1" si="3"/>
        <v>1.8381173622944338</v>
      </c>
    </row>
    <row r="238" spans="1:23" x14ac:dyDescent="0.25">
      <c r="A238" s="1">
        <v>2.9051652693248946</v>
      </c>
      <c r="T238">
        <f ca="1"/>
        <v>6.2858479535260026E-2</v>
      </c>
      <c r="U238">
        <f ca="1"/>
        <v>0.11944205468540692</v>
      </c>
      <c r="W238">
        <f t="shared" ca="1" si="3"/>
        <v>6.3882555993251797</v>
      </c>
    </row>
    <row r="239" spans="1:23" x14ac:dyDescent="0.25">
      <c r="A239" s="1">
        <v>5.4377667137916932</v>
      </c>
      <c r="T239">
        <f ca="1"/>
        <v>0.92715504846074959</v>
      </c>
      <c r="U239">
        <f ca="1"/>
        <v>0.77655819594981845</v>
      </c>
      <c r="W239">
        <f t="shared" ca="1" si="3"/>
        <v>9.6854619690564832</v>
      </c>
    </row>
    <row r="240" spans="1:23" x14ac:dyDescent="0.25">
      <c r="A240" s="1">
        <v>3.9109137522023216</v>
      </c>
      <c r="T240">
        <f ca="1"/>
        <v>0.916438339767502</v>
      </c>
      <c r="U240">
        <f ca="1"/>
        <v>0.9212949109499835</v>
      </c>
      <c r="W240">
        <f t="shared" ca="1" si="3"/>
        <v>16.429223035690203</v>
      </c>
    </row>
    <row r="241" spans="1:23" x14ac:dyDescent="0.25">
      <c r="A241" s="1">
        <v>4.3540471061468509</v>
      </c>
      <c r="T241">
        <f ca="1"/>
        <v>0.30621337458419706</v>
      </c>
      <c r="U241">
        <f ca="1"/>
        <v>0.99693742432493315</v>
      </c>
      <c r="W241">
        <f t="shared" ca="1" si="3"/>
        <v>37.411001341441299</v>
      </c>
    </row>
    <row r="242" spans="1:23" x14ac:dyDescent="0.25">
      <c r="A242" s="1">
        <v>18.879653340172602</v>
      </c>
      <c r="T242">
        <f ca="1"/>
        <v>0.93441718909659022</v>
      </c>
      <c r="U242">
        <f ca="1"/>
        <v>9.5820239202521584E-2</v>
      </c>
      <c r="W242">
        <f t="shared" ca="1" si="3"/>
        <v>0.65099799199543806</v>
      </c>
    </row>
    <row r="243" spans="1:23" x14ac:dyDescent="0.25">
      <c r="A243" s="1">
        <v>2.1407194815579254</v>
      </c>
      <c r="T243">
        <f ca="1"/>
        <v>0.50976170592208403</v>
      </c>
      <c r="U243">
        <f ca="1"/>
        <v>3.5731222529289397E-3</v>
      </c>
      <c r="W243">
        <f t="shared" ca="1" si="3"/>
        <v>2.3134403043461309E-2</v>
      </c>
    </row>
    <row r="244" spans="1:23" x14ac:dyDescent="0.25">
      <c r="A244" s="1">
        <v>10.784550495827428</v>
      </c>
      <c r="T244">
        <f ca="1"/>
        <v>0.8727103532719116</v>
      </c>
      <c r="U244">
        <f ca="1"/>
        <v>0.67682661927767285</v>
      </c>
      <c r="W244">
        <f t="shared" ca="1" si="3"/>
        <v>7.3003739075486989</v>
      </c>
    </row>
    <row r="245" spans="1:23" x14ac:dyDescent="0.25">
      <c r="A245" s="1">
        <v>0.82797705248360109</v>
      </c>
      <c r="T245">
        <f ca="1"/>
        <v>0.61758457541258793</v>
      </c>
      <c r="U245">
        <f ca="1"/>
        <v>0.82143123699524612</v>
      </c>
      <c r="W245">
        <f t="shared" ca="1" si="3"/>
        <v>11.134316861689214</v>
      </c>
    </row>
    <row r="246" spans="1:23" x14ac:dyDescent="0.25">
      <c r="A246" s="1">
        <v>2.8703636725383475</v>
      </c>
      <c r="T246">
        <f ca="1"/>
        <v>0.70223749849354267</v>
      </c>
      <c r="U246">
        <f ca="1"/>
        <v>0.39329411358700805</v>
      </c>
      <c r="W246">
        <f t="shared" ca="1" si="3"/>
        <v>3.2296272687947538</v>
      </c>
    </row>
    <row r="247" spans="1:23" x14ac:dyDescent="0.25">
      <c r="A247" s="1">
        <v>4.2460078458593911</v>
      </c>
      <c r="T247">
        <f ca="1"/>
        <v>1.5387793096109936E-2</v>
      </c>
      <c r="U247">
        <f ca="1"/>
        <v>0.44098933967133713</v>
      </c>
      <c r="W247">
        <f t="shared" ca="1" si="3"/>
        <v>29.208632466635546</v>
      </c>
    </row>
    <row r="248" spans="1:23" x14ac:dyDescent="0.25">
      <c r="A248" s="1">
        <v>7.0448288534565453</v>
      </c>
      <c r="T248">
        <f ca="1"/>
        <v>0.47818336709430653</v>
      </c>
      <c r="U248">
        <f ca="1"/>
        <v>0.82704990893461705</v>
      </c>
      <c r="W248">
        <f t="shared" ca="1" si="3"/>
        <v>11.340943070639979</v>
      </c>
    </row>
    <row r="249" spans="1:23" x14ac:dyDescent="0.25">
      <c r="A249" s="1">
        <v>8.1080140519646449</v>
      </c>
      <c r="T249">
        <f ca="1"/>
        <v>0.16867223779071527</v>
      </c>
      <c r="U249">
        <f ca="1"/>
        <v>0.3789557816475071</v>
      </c>
      <c r="W249">
        <f t="shared" ca="1" si="3"/>
        <v>23.92355032875134</v>
      </c>
    </row>
    <row r="250" spans="1:23" x14ac:dyDescent="0.25">
      <c r="A250" s="1">
        <v>101.84193089292316</v>
      </c>
      <c r="T250">
        <f ca="1"/>
        <v>8.8196514835062523E-2</v>
      </c>
      <c r="U250">
        <f ca="1"/>
        <v>0.20726420082556229</v>
      </c>
      <c r="W250">
        <f t="shared" ca="1" si="3"/>
        <v>11.664900101707294</v>
      </c>
    </row>
    <row r="251" spans="1:23" x14ac:dyDescent="0.25">
      <c r="A251" s="1">
        <v>8.4481187525267192</v>
      </c>
      <c r="T251">
        <f ca="1"/>
        <v>0.29453123580121021</v>
      </c>
      <c r="U251">
        <f ca="1"/>
        <v>0.89726311100638712</v>
      </c>
      <c r="W251">
        <f t="shared" ca="1" si="3"/>
        <v>114.28509909916289</v>
      </c>
    </row>
    <row r="252" spans="1:23" x14ac:dyDescent="0.25">
      <c r="A252" s="1">
        <v>8.9260896423745937</v>
      </c>
      <c r="T252">
        <f ca="1"/>
        <v>0.23151203017693223</v>
      </c>
      <c r="U252">
        <f ca="1"/>
        <v>1.8472144936238388E-2</v>
      </c>
      <c r="W252">
        <f t="shared" ca="1" si="3"/>
        <v>0.93638932371190575</v>
      </c>
    </row>
    <row r="253" spans="1:23" x14ac:dyDescent="0.25">
      <c r="A253" s="1">
        <v>1.7760996826040085</v>
      </c>
      <c r="T253">
        <f ca="1"/>
        <v>0.968315180533875</v>
      </c>
      <c r="U253">
        <f ca="1"/>
        <v>0.17935588359576915</v>
      </c>
      <c r="W253">
        <f t="shared" ca="1" si="3"/>
        <v>1.277511362694612</v>
      </c>
    </row>
    <row r="254" spans="1:23" x14ac:dyDescent="0.25">
      <c r="A254" s="1">
        <v>2.6694978466341723</v>
      </c>
      <c r="T254">
        <f ca="1"/>
        <v>0.62386258955051299</v>
      </c>
      <c r="U254">
        <f ca="1"/>
        <v>0.86675856502002047</v>
      </c>
      <c r="W254">
        <f t="shared" ca="1" si="3"/>
        <v>13.026750743818829</v>
      </c>
    </row>
    <row r="255" spans="1:23" x14ac:dyDescent="0.25">
      <c r="A255" s="1">
        <v>6.7768579385818519</v>
      </c>
      <c r="T255">
        <f ca="1"/>
        <v>0.95272406846791502</v>
      </c>
      <c r="U255">
        <f ca="1"/>
        <v>0.50874529553559289</v>
      </c>
      <c r="W255">
        <f t="shared" ca="1" si="3"/>
        <v>4.5938438744684076</v>
      </c>
    </row>
    <row r="256" spans="1:23" x14ac:dyDescent="0.25">
      <c r="A256" s="1">
        <v>283.16691225129165</v>
      </c>
      <c r="T256">
        <f ca="1"/>
        <v>0.38011623516858162</v>
      </c>
      <c r="U256">
        <f ca="1"/>
        <v>0.54073086752857336</v>
      </c>
      <c r="W256">
        <f t="shared" ca="1" si="3"/>
        <v>5.028973327565283</v>
      </c>
    </row>
    <row r="257" spans="1:23" x14ac:dyDescent="0.25">
      <c r="A257" s="1">
        <v>66.874147868688453</v>
      </c>
      <c r="T257">
        <f ca="1"/>
        <v>0.57407362648786187</v>
      </c>
      <c r="U257">
        <f ca="1"/>
        <v>0.28118430605209332</v>
      </c>
      <c r="W257">
        <f t="shared" ca="1" si="3"/>
        <v>2.1337574707151528</v>
      </c>
    </row>
    <row r="258" spans="1:23" x14ac:dyDescent="0.25">
      <c r="A258" s="1">
        <v>5.5618801609431809</v>
      </c>
      <c r="T258">
        <f ca="1"/>
        <v>0.15312421062164616</v>
      </c>
      <c r="U258">
        <f ca="1"/>
        <v>0.43814666596537055</v>
      </c>
      <c r="W258">
        <f t="shared" ref="W258:W300" ca="1" si="4">IF(T258&lt;0.3, 2.56435 *19.5848130689838, 0.33 *19.5848130689838) * -LN(1-U258)</f>
        <v>28.953889764163286</v>
      </c>
    </row>
    <row r="259" spans="1:23" x14ac:dyDescent="0.25">
      <c r="A259" s="1">
        <v>27.519415602549682</v>
      </c>
      <c r="T259">
        <f ca="1"/>
        <v>0.66476760326861117</v>
      </c>
      <c r="U259">
        <f ca="1"/>
        <v>0.19595143718680852</v>
      </c>
      <c r="W259">
        <f t="shared" ca="1" si="4"/>
        <v>1.4095493792600029</v>
      </c>
    </row>
    <row r="260" spans="1:23" x14ac:dyDescent="0.25">
      <c r="A260" s="1">
        <v>59.625465898760638</v>
      </c>
      <c r="T260">
        <f ca="1"/>
        <v>0.69150561611627825</v>
      </c>
      <c r="U260">
        <f ca="1"/>
        <v>0.82248500748549391</v>
      </c>
      <c r="W260">
        <f t="shared" ca="1" si="4"/>
        <v>11.172569245510159</v>
      </c>
    </row>
    <row r="261" spans="1:23" x14ac:dyDescent="0.25">
      <c r="A261" s="1">
        <v>19.615495199880566</v>
      </c>
      <c r="T261">
        <f ca="1"/>
        <v>0.23474407144246623</v>
      </c>
      <c r="U261">
        <f ca="1"/>
        <v>0.32148015685820686</v>
      </c>
      <c r="W261">
        <f t="shared" ca="1" si="4"/>
        <v>19.478300874372678</v>
      </c>
    </row>
    <row r="262" spans="1:23" x14ac:dyDescent="0.25">
      <c r="A262" s="1">
        <v>3.6416036844350206</v>
      </c>
      <c r="T262">
        <f ca="1"/>
        <v>0.3582946755897638</v>
      </c>
      <c r="U262">
        <f ca="1"/>
        <v>0.82183634738915101</v>
      </c>
      <c r="W262">
        <f t="shared" ca="1" si="4"/>
        <v>11.148995790500175</v>
      </c>
    </row>
    <row r="263" spans="1:23" x14ac:dyDescent="0.25">
      <c r="A263" s="1">
        <v>10.743730430306995</v>
      </c>
      <c r="T263">
        <f ca="1"/>
        <v>0.34350363592542399</v>
      </c>
      <c r="U263">
        <f ca="1"/>
        <v>0.25162959017491726</v>
      </c>
      <c r="W263">
        <f t="shared" ca="1" si="4"/>
        <v>1.8733438464158241</v>
      </c>
    </row>
    <row r="264" spans="1:23" x14ac:dyDescent="0.25">
      <c r="A264" s="1">
        <v>11.754375898993148</v>
      </c>
      <c r="T264">
        <f ca="1"/>
        <v>7.6734327313187745E-2</v>
      </c>
      <c r="U264">
        <f ca="1"/>
        <v>0.89991384362276339</v>
      </c>
      <c r="W264">
        <f t="shared" ca="1" si="4"/>
        <v>115.59790366220828</v>
      </c>
    </row>
    <row r="265" spans="1:23" x14ac:dyDescent="0.25">
      <c r="A265" s="1">
        <v>8.9763902337237251</v>
      </c>
      <c r="T265">
        <f ca="1"/>
        <v>0.48680340823298796</v>
      </c>
      <c r="U265">
        <f ca="1"/>
        <v>0.35596909498045992</v>
      </c>
      <c r="W265">
        <f t="shared" ca="1" si="4"/>
        <v>2.8437702122611395</v>
      </c>
    </row>
    <row r="266" spans="1:23" x14ac:dyDescent="0.25">
      <c r="A266" s="1">
        <v>68.282246033768075</v>
      </c>
      <c r="T266">
        <f ca="1"/>
        <v>0.6224104095569889</v>
      </c>
      <c r="U266">
        <f ca="1"/>
        <v>0.81535296377392652</v>
      </c>
      <c r="W266">
        <f t="shared" ca="1" si="4"/>
        <v>10.91798554242747</v>
      </c>
    </row>
    <row r="267" spans="1:23" x14ac:dyDescent="0.25">
      <c r="A267" s="1">
        <v>3.3734423013253698</v>
      </c>
      <c r="T267">
        <f ca="1"/>
        <v>0.70343622378849413</v>
      </c>
      <c r="U267">
        <f ca="1"/>
        <v>3.5102703496067589E-2</v>
      </c>
      <c r="W267">
        <f t="shared" ca="1" si="4"/>
        <v>0.23094591543885032</v>
      </c>
    </row>
    <row r="268" spans="1:23" x14ac:dyDescent="0.25">
      <c r="A268" s="1">
        <v>7.1635461394284805</v>
      </c>
      <c r="T268">
        <f ca="1"/>
        <v>0.36417031947473033</v>
      </c>
      <c r="U268">
        <f ca="1"/>
        <v>0.35897008455888413</v>
      </c>
      <c r="W268">
        <f t="shared" ca="1" si="4"/>
        <v>2.8739561700328355</v>
      </c>
    </row>
    <row r="269" spans="1:23" x14ac:dyDescent="0.25">
      <c r="A269" s="1">
        <v>6.5571150324348597</v>
      </c>
      <c r="T269">
        <f ca="1"/>
        <v>0.5142235061711895</v>
      </c>
      <c r="U269">
        <f ca="1"/>
        <v>0.59338708751080205</v>
      </c>
      <c r="W269">
        <f t="shared" ca="1" si="4"/>
        <v>5.8160019556643467</v>
      </c>
    </row>
    <row r="270" spans="1:23" x14ac:dyDescent="0.25">
      <c r="A270" s="1">
        <v>1.8677914575142285</v>
      </c>
      <c r="T270">
        <f ca="1"/>
        <v>0.52935152082861281</v>
      </c>
      <c r="U270">
        <f ca="1"/>
        <v>0.85046751597483272</v>
      </c>
      <c r="W270">
        <f t="shared" ca="1" si="4"/>
        <v>12.281239415774888</v>
      </c>
    </row>
    <row r="271" spans="1:23" x14ac:dyDescent="0.25">
      <c r="A271" s="1">
        <v>5.3539274983744987</v>
      </c>
      <c r="T271">
        <f ca="1"/>
        <v>0.65795939280922577</v>
      </c>
      <c r="U271">
        <f ca="1"/>
        <v>0.75898904564290737</v>
      </c>
      <c r="W271">
        <f t="shared" ca="1" si="4"/>
        <v>9.196269395993923</v>
      </c>
    </row>
    <row r="272" spans="1:23" x14ac:dyDescent="0.25">
      <c r="A272" s="1">
        <v>9.4740778118923998</v>
      </c>
      <c r="T272">
        <f ca="1"/>
        <v>0.43745398219753184</v>
      </c>
      <c r="U272">
        <f ca="1"/>
        <v>0.95741338998466063</v>
      </c>
      <c r="W272">
        <f t="shared" ca="1" si="4"/>
        <v>20.398583204016354</v>
      </c>
    </row>
    <row r="273" spans="1:23" x14ac:dyDescent="0.25">
      <c r="A273" s="1">
        <v>138.18467107511051</v>
      </c>
      <c r="T273">
        <f ca="1"/>
        <v>0.69608008078548722</v>
      </c>
      <c r="U273">
        <f ca="1"/>
        <v>0.92947102879723187</v>
      </c>
      <c r="W273">
        <f t="shared" ca="1" si="4"/>
        <v>17.138111079594008</v>
      </c>
    </row>
    <row r="274" spans="1:23" x14ac:dyDescent="0.25">
      <c r="A274" s="1">
        <v>9.541763214582005</v>
      </c>
      <c r="T274">
        <f ca="1"/>
        <v>0.19437695664954902</v>
      </c>
      <c r="U274">
        <f ca="1"/>
        <v>0.21723494609480132</v>
      </c>
      <c r="W274">
        <f t="shared" ca="1" si="4"/>
        <v>12.300584427873975</v>
      </c>
    </row>
    <row r="275" spans="1:23" x14ac:dyDescent="0.25">
      <c r="A275" s="1">
        <v>57.2403263502759</v>
      </c>
      <c r="T275">
        <f ca="1"/>
        <v>2.8511794095575915E-3</v>
      </c>
      <c r="U275">
        <f ca="1"/>
        <v>8.2310616731054109E-2</v>
      </c>
      <c r="W275">
        <f t="shared" ca="1" si="4"/>
        <v>4.3139114750879441</v>
      </c>
    </row>
    <row r="276" spans="1:23" x14ac:dyDescent="0.25">
      <c r="A276" s="1">
        <v>69.339239153445718</v>
      </c>
      <c r="T276">
        <f ca="1"/>
        <v>0.63814853023320639</v>
      </c>
      <c r="U276">
        <f ca="1"/>
        <v>0.6960030015529679</v>
      </c>
      <c r="W276">
        <f t="shared" ca="1" si="4"/>
        <v>7.6957222303804995</v>
      </c>
    </row>
    <row r="277" spans="1:23" x14ac:dyDescent="0.25">
      <c r="A277" s="1">
        <v>6.0230207189244922</v>
      </c>
      <c r="T277">
        <f ca="1"/>
        <v>0.64024695896290362</v>
      </c>
      <c r="U277">
        <f ca="1"/>
        <v>0.12072369297573093</v>
      </c>
      <c r="W277">
        <f t="shared" ca="1" si="4"/>
        <v>0.83150279459654775</v>
      </c>
    </row>
    <row r="278" spans="1:23" x14ac:dyDescent="0.25">
      <c r="A278" s="1">
        <v>4.0100054899608208</v>
      </c>
      <c r="T278">
        <f ca="1"/>
        <v>0.52396616475116953</v>
      </c>
      <c r="U278">
        <f ca="1"/>
        <v>0.67700348177566383</v>
      </c>
      <c r="W278">
        <f t="shared" ca="1" si="4"/>
        <v>7.303911863395574</v>
      </c>
    </row>
    <row r="279" spans="1:23" x14ac:dyDescent="0.25">
      <c r="A279" s="1">
        <v>1.3610713793542439</v>
      </c>
      <c r="T279">
        <f ca="1"/>
        <v>0.71361108082979974</v>
      </c>
      <c r="U279">
        <f ca="1"/>
        <v>0.78487487525076594</v>
      </c>
      <c r="W279">
        <f t="shared" ca="1" si="4"/>
        <v>9.9306106203318585</v>
      </c>
    </row>
    <row r="280" spans="1:23" x14ac:dyDescent="0.25">
      <c r="A280" s="1">
        <v>9.757661841924433</v>
      </c>
      <c r="T280">
        <f ca="1"/>
        <v>0.32570692565859516</v>
      </c>
      <c r="U280">
        <f ca="1"/>
        <v>1.8316845902033307E-3</v>
      </c>
      <c r="W280">
        <f t="shared" ca="1" si="4"/>
        <v>1.1849011240695817E-2</v>
      </c>
    </row>
    <row r="281" spans="1:23" x14ac:dyDescent="0.25">
      <c r="A281" s="1">
        <v>46.763392940471419</v>
      </c>
      <c r="T281">
        <f ca="1"/>
        <v>0.65371746873843861</v>
      </c>
      <c r="U281">
        <f ca="1"/>
        <v>0.39725298173755785</v>
      </c>
      <c r="W281">
        <f t="shared" ca="1" si="4"/>
        <v>3.2719376553664796</v>
      </c>
    </row>
    <row r="282" spans="1:23" x14ac:dyDescent="0.25">
      <c r="A282" s="1">
        <v>56.283449908035628</v>
      </c>
      <c r="T282">
        <f ca="1"/>
        <v>5.3039361161514087E-2</v>
      </c>
      <c r="U282">
        <f ca="1"/>
        <v>0.34735230463907651</v>
      </c>
      <c r="W282">
        <f t="shared" ca="1" si="4"/>
        <v>21.430756556131023</v>
      </c>
    </row>
    <row r="283" spans="1:23" x14ac:dyDescent="0.25">
      <c r="A283" s="1">
        <v>130.38443040456767</v>
      </c>
      <c r="T283">
        <f ca="1"/>
        <v>0.87891811160310973</v>
      </c>
      <c r="U283">
        <f ca="1"/>
        <v>0.20964307240543079</v>
      </c>
      <c r="W283">
        <f t="shared" ca="1" si="4"/>
        <v>1.5205513221605358</v>
      </c>
    </row>
    <row r="284" spans="1:23" x14ac:dyDescent="0.25">
      <c r="A284" s="1">
        <v>2.6849927248905443</v>
      </c>
      <c r="T284">
        <f ca="1"/>
        <v>0.42292985698869967</v>
      </c>
      <c r="U284">
        <f ca="1"/>
        <v>0.92172225039320854</v>
      </c>
      <c r="W284">
        <f t="shared" ca="1" si="4"/>
        <v>16.464410278742296</v>
      </c>
    </row>
    <row r="285" spans="1:23" x14ac:dyDescent="0.25">
      <c r="A285" s="1">
        <v>7.0933761065749978</v>
      </c>
      <c r="T285">
        <f ca="1"/>
        <v>0.79064579514250566</v>
      </c>
      <c r="U285">
        <f ca="1"/>
        <v>0.85993968227809692</v>
      </c>
      <c r="W285">
        <f t="shared" ca="1" si="4"/>
        <v>12.704180492471888</v>
      </c>
    </row>
    <row r="286" spans="1:23" x14ac:dyDescent="0.25">
      <c r="A286" s="1">
        <v>13.301696650498336</v>
      </c>
      <c r="T286">
        <f ca="1"/>
        <v>0.57673278741432621</v>
      </c>
      <c r="U286">
        <f ca="1"/>
        <v>0.74152182375823372</v>
      </c>
      <c r="W286">
        <f t="shared" ca="1" si="4"/>
        <v>8.7440613450994018</v>
      </c>
    </row>
    <row r="287" spans="1:23" x14ac:dyDescent="0.25">
      <c r="A287" s="1">
        <v>49.203884948189547</v>
      </c>
      <c r="T287">
        <f ca="1"/>
        <v>0.811301693180982</v>
      </c>
      <c r="U287">
        <f ca="1"/>
        <v>0.37281497995450308</v>
      </c>
      <c r="W287">
        <f t="shared" ca="1" si="4"/>
        <v>3.0150725526302029</v>
      </c>
    </row>
    <row r="288" spans="1:23" x14ac:dyDescent="0.25">
      <c r="A288" s="1">
        <v>2.284788193446718</v>
      </c>
      <c r="T288">
        <f ca="1"/>
        <v>0.56433305436621128</v>
      </c>
      <c r="U288">
        <f ca="1"/>
        <v>0.57451455258555262</v>
      </c>
      <c r="W288">
        <f t="shared" ca="1" si="4"/>
        <v>5.5227820677766193</v>
      </c>
    </row>
    <row r="289" spans="1:23" x14ac:dyDescent="0.25">
      <c r="A289" s="1">
        <v>9.3867774310318186</v>
      </c>
      <c r="T289">
        <f ca="1"/>
        <v>0.71414959883863127</v>
      </c>
      <c r="U289">
        <f ca="1"/>
        <v>0.63577312638078265</v>
      </c>
      <c r="W289">
        <f t="shared" ca="1" si="4"/>
        <v>6.5274781192132565</v>
      </c>
    </row>
    <row r="290" spans="1:23" x14ac:dyDescent="0.25">
      <c r="A290" s="1">
        <v>1.6734954100299351</v>
      </c>
      <c r="T290">
        <f ca="1"/>
        <v>0.82783016376370733</v>
      </c>
      <c r="U290">
        <f ca="1"/>
        <v>9.7478641117464404E-2</v>
      </c>
      <c r="W290">
        <f t="shared" ca="1" si="4"/>
        <v>0.66286297075444323</v>
      </c>
    </row>
    <row r="291" spans="1:23" x14ac:dyDescent="0.25">
      <c r="A291" s="1">
        <v>16.366330503506791</v>
      </c>
      <c r="T291">
        <f ca="1"/>
        <v>0.88015524294039094</v>
      </c>
      <c r="U291">
        <f ca="1"/>
        <v>0.43562030348892411</v>
      </c>
      <c r="W291">
        <f t="shared" ca="1" si="4"/>
        <v>3.6970104933470109</v>
      </c>
    </row>
    <row r="292" spans="1:23" x14ac:dyDescent="0.25">
      <c r="A292" s="1">
        <v>5.6126771380730904</v>
      </c>
      <c r="T292">
        <f ca="1"/>
        <v>0.37437190277437038</v>
      </c>
      <c r="U292">
        <f ca="1"/>
        <v>0.36595471621988884</v>
      </c>
      <c r="W292">
        <f t="shared" ca="1" si="4"/>
        <v>2.9447630437663301</v>
      </c>
    </row>
    <row r="293" spans="1:23" x14ac:dyDescent="0.25">
      <c r="A293" s="1">
        <v>10.205420918762966</v>
      </c>
      <c r="T293">
        <f ca="1"/>
        <v>0.2941605385492998</v>
      </c>
      <c r="U293">
        <f ca="1"/>
        <v>0.99536337058018232</v>
      </c>
      <c r="W293">
        <f t="shared" ca="1" si="4"/>
        <v>269.88305099996256</v>
      </c>
    </row>
    <row r="294" spans="1:23" x14ac:dyDescent="0.25">
      <c r="A294" s="1">
        <v>11.240801546894962</v>
      </c>
      <c r="T294">
        <f ca="1"/>
        <v>0.8002970542221346</v>
      </c>
      <c r="U294">
        <f ca="1"/>
        <v>0.12533214761007616</v>
      </c>
      <c r="W294">
        <f t="shared" ca="1" si="4"/>
        <v>0.86546562838744368</v>
      </c>
    </row>
    <row r="295" spans="1:23" x14ac:dyDescent="0.25">
      <c r="A295" s="1">
        <v>4.2002522301677034</v>
      </c>
      <c r="T295">
        <f ca="1"/>
        <v>0.36956735499651328</v>
      </c>
      <c r="U295">
        <f ca="1"/>
        <v>0.24856129734277088</v>
      </c>
      <c r="W295">
        <f t="shared" ca="1" si="4"/>
        <v>1.8468999900419387</v>
      </c>
    </row>
    <row r="296" spans="1:23" x14ac:dyDescent="0.25">
      <c r="A296" s="1">
        <v>5.9433509890349798</v>
      </c>
      <c r="T296">
        <f ca="1"/>
        <v>0.8512382404199248</v>
      </c>
      <c r="U296">
        <f ca="1"/>
        <v>0.15188219573173134</v>
      </c>
      <c r="W296">
        <f t="shared" ca="1" si="4"/>
        <v>1.0646851152063417</v>
      </c>
    </row>
    <row r="297" spans="1:23" x14ac:dyDescent="0.25">
      <c r="A297" s="1">
        <v>21.633957974524172</v>
      </c>
      <c r="T297">
        <f ca="1"/>
        <v>0.72395503474288492</v>
      </c>
      <c r="U297">
        <f ca="1"/>
        <v>0.26172972038339504</v>
      </c>
      <c r="W297">
        <f t="shared" ca="1" si="4"/>
        <v>1.9611633556311772</v>
      </c>
    </row>
    <row r="298" spans="1:23" x14ac:dyDescent="0.25">
      <c r="A298" s="1">
        <v>23.805685145371086</v>
      </c>
      <c r="T298">
        <f ca="1"/>
        <v>3.5708562621704631E-2</v>
      </c>
      <c r="U298">
        <f ca="1"/>
        <v>0.681969254280967</v>
      </c>
      <c r="W298">
        <f t="shared" ca="1" si="4"/>
        <v>57.535046930241165</v>
      </c>
    </row>
    <row r="299" spans="1:23" x14ac:dyDescent="0.25">
      <c r="A299" s="1">
        <v>2.7959083183802318</v>
      </c>
      <c r="T299">
        <f ca="1"/>
        <v>0.21314862659642708</v>
      </c>
      <c r="U299">
        <f ca="1"/>
        <v>0.36808383424635105</v>
      </c>
      <c r="W299">
        <f t="shared" ca="1" si="4"/>
        <v>23.051969579521863</v>
      </c>
    </row>
    <row r="300" spans="1:23" x14ac:dyDescent="0.25">
      <c r="A300" s="1">
        <v>5.0446869342623302</v>
      </c>
      <c r="T300">
        <f ca="1"/>
        <v>0.7082410927856726</v>
      </c>
      <c r="U300">
        <f ca="1"/>
        <v>0.27304339004887956</v>
      </c>
      <c r="W300">
        <f t="shared" ca="1" si="4"/>
        <v>2.0609725640931744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Трикашный</dc:creator>
  <cp:lastModifiedBy>Михаил Трикашный</cp:lastModifiedBy>
  <dcterms:created xsi:type="dcterms:W3CDTF">2025-11-02T11:12:06Z</dcterms:created>
  <dcterms:modified xsi:type="dcterms:W3CDTF">2025-11-03T10:41:34Z</dcterms:modified>
</cp:coreProperties>
</file>